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elofernandez/Desktop/trash/Class/MAM_repo/Business_Intelligence/Assessment2/"/>
    </mc:Choice>
  </mc:AlternateContent>
  <xr:revisionPtr revIDLastSave="0" documentId="13_ncr:1_{6B608B3F-7BCC-E44E-90D9-68C520ECF98A}" xr6:coauthVersionLast="47" xr6:coauthVersionMax="47" xr10:uidLastSave="{00000000-0000-0000-0000-000000000000}"/>
  <bookViews>
    <workbookView xWindow="280" yWindow="500" windowWidth="26740" windowHeight="13660" activeTab="6" xr2:uid="{7896A064-4FCF-E149-9F19-F8691148651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7" l="1" a="1"/>
  <c r="K7" i="7" s="1"/>
  <c r="F6" i="5" a="1"/>
  <c r="F6" i="5" s="1"/>
  <c r="G20" i="3"/>
  <c r="G23" i="3"/>
  <c r="G22" i="3"/>
  <c r="G21" i="3"/>
  <c r="G19" i="3"/>
  <c r="G18" i="3"/>
  <c r="G7" i="3"/>
  <c r="G6" i="3"/>
  <c r="G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<sst xmlns="http://schemas.openxmlformats.org/spreadsheetml/2006/main" count="311" uniqueCount="152">
  <si>
    <t>Variable</t>
  </si>
  <si>
    <t>Coding</t>
  </si>
  <si>
    <t>Attrition</t>
  </si>
  <si>
    <t>0 = 'Current Employee', 1 = 'Voluntary Resignation'</t>
  </si>
  <si>
    <t>0 = 'Non-Travel', 1 = 'Travel_Rarely', 2 = 'Travel_Frequently'</t>
  </si>
  <si>
    <t>Gender</t>
  </si>
  <si>
    <t>0 = 'Male', 1 = 'Female'</t>
  </si>
  <si>
    <t>0 = 'No', 1 = 'Yes'</t>
  </si>
  <si>
    <t>Overtime</t>
  </si>
  <si>
    <t>Over18</t>
  </si>
  <si>
    <t>Business Travel</t>
  </si>
  <si>
    <t>Employee Source.4</t>
  </si>
  <si>
    <t>Employee Source.2</t>
  </si>
  <si>
    <t>Employee Source.1</t>
  </si>
  <si>
    <t>Employee Source.5</t>
  </si>
  <si>
    <t>Employee Source.3</t>
  </si>
  <si>
    <t>Employee Source.6</t>
  </si>
  <si>
    <t>Employee Source.7</t>
  </si>
  <si>
    <t>Employee Source.0</t>
  </si>
  <si>
    <t>JobRole.6</t>
  </si>
  <si>
    <t>JobRole.3</t>
  </si>
  <si>
    <t>JobRole.8</t>
  </si>
  <si>
    <t>JobRole.0</t>
  </si>
  <si>
    <t>JobRole.7</t>
  </si>
  <si>
    <t>JobRole.4</t>
  </si>
  <si>
    <t>JobRole.1</t>
  </si>
  <si>
    <t>JobRole.5</t>
  </si>
  <si>
    <t>EducationField.3</t>
  </si>
  <si>
    <t>EducationField.0</t>
  </si>
  <si>
    <t>EducationField.2</t>
  </si>
  <si>
    <t>EducationField.5</t>
  </si>
  <si>
    <t>EducationField.4</t>
  </si>
  <si>
    <t>MaritalStatus.1</t>
  </si>
  <si>
    <t>MaritalStatus.0</t>
  </si>
  <si>
    <t>Department.0</t>
  </si>
  <si>
    <t>Department.2</t>
  </si>
  <si>
    <t>BusinessTravel.0</t>
  </si>
  <si>
    <t>BusinessTravel.2</t>
  </si>
  <si>
    <t>Gender.0</t>
  </si>
  <si>
    <t>OverTime.0</t>
  </si>
  <si>
    <t>Age</t>
  </si>
  <si>
    <t>DailyRate</t>
  </si>
  <si>
    <t>DistanceFromHome</t>
  </si>
  <si>
    <t>Education</t>
  </si>
  <si>
    <t>EnvironmentSatisfaction</t>
  </si>
  <si>
    <t>HourlyRate</t>
  </si>
  <si>
    <t>JobInvolvement</t>
  </si>
  <si>
    <t>JobLevel</t>
  </si>
  <si>
    <t>JobSatisfaction</t>
  </si>
  <si>
    <t>MonthlyIncome</t>
  </si>
  <si>
    <t>MonthlyRate</t>
  </si>
  <si>
    <t>NumCompaniesWorked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</si>
  <si>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</si>
  <si>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</si>
  <si>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</si>
  <si>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</si>
  <si>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</si>
  <si>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</si>
  <si>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</si>
  <si>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</si>
  <si>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</si>
  <si>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</si>
  <si>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</si>
  <si>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Intercept</t>
  </si>
  <si>
    <t>Attribute</t>
  </si>
  <si>
    <t>Coefficient</t>
  </si>
  <si>
    <t>Std. Coefficient</t>
  </si>
  <si>
    <t>Std Error</t>
  </si>
  <si>
    <t>z-value</t>
  </si>
  <si>
    <t>p-value</t>
  </si>
  <si>
    <t>Odds = EXP(Coefficient)</t>
  </si>
  <si>
    <t>resolution_range</t>
  </si>
  <si>
    <t>Priority_severity_range</t>
  </si>
  <si>
    <t>timespent &lt;= 1440, "less than 1 day"
timespent &lt;= 4320 AND timespent &gt; 1440, "1 to 3 days"
timespent &lt;= 10080 AND timespent &gt; 4320, "4 to 7 days"
timespent &lt;= 20160 AND timespent &gt; 10080, "2 weeks"
timespent &lt;= 30240 AND timespent &gt; 20160, "3 weeks"
timespent &lt;= 40320 AND timespent &gt; 30240, "4 weeks"
timespent &lt;= 80640 AND timespent &gt; 40320, "greater than 1 month"
timespent &lt;= 120960 AND timespent &gt; 80640, "greater than 2 months"
timespent &gt;= 120960, "3 months or more"</t>
  </si>
  <si>
    <t>priority = "Blocker" OR priority = "P0" OR priority="Highest" OR priority = "Severe" OR priority = "P0: Blocker", "Highest"
priority = "P1: Critical" OR priority = "P1" OR priority = "Critical" OR priority = "High" OR priority = "Major", "High"
priority = "P2: Important" OR priority = "P2" OR priority = "Medium" OR priority = "Normal", "Medium"
priority = "P3: Somewhat important" OR priority = "P3" OR priority = "Low" OR priority = "Minor", "Low"
priority = "P4" OR priority = "Unprioritized" OR priority = "Optional" OR priority = "Not a Priority", "Unprioritized"
priority = "Trivial" OR priority = "Not Evaluated" OR priority = "Unset" OR priority = "", "Unset"</t>
  </si>
  <si>
    <t>Description</t>
  </si>
  <si>
    <t>repo_name</t>
  </si>
  <si>
    <t>assignee_id</t>
  </si>
  <si>
    <t>Name of Repository or project</t>
  </si>
  <si>
    <t>Period for how long the time spent on the ticket</t>
  </si>
  <si>
    <t>Priority of each task</t>
  </si>
  <si>
    <t>Name of the employee assigned on the task</t>
  </si>
  <si>
    <t>Employee Source</t>
  </si>
  <si>
    <t>OverTime</t>
  </si>
  <si>
    <t>MaritalStatus</t>
  </si>
  <si>
    <t>JobRole</t>
  </si>
  <si>
    <t>BusinessTravel</t>
  </si>
  <si>
    <t>StandardHours</t>
  </si>
  <si>
    <t>Variables</t>
  </si>
  <si>
    <t>Where the employee was hired</t>
  </si>
  <si>
    <t>If employee did overtime or not</t>
  </si>
  <si>
    <t>If employee is single, married or widow</t>
  </si>
  <si>
    <t>The position held by the employee in the organization</t>
  </si>
  <si>
    <t>Gender of the employee</t>
  </si>
  <si>
    <t>Frequency of business travel</t>
  </si>
  <si>
    <t>Whether the employee left the company</t>
  </si>
  <si>
    <t>Age of the employee</t>
  </si>
  <si>
    <t>Daily rate of pay</t>
  </si>
  <si>
    <t>Distance from home to workplace</t>
  </si>
  <si>
    <t>Level of education attained (1=Below College, 5=Doctor)</t>
  </si>
  <si>
    <t>Satisfaction with the work environment (1=Low, 4=Very High)</t>
  </si>
  <si>
    <t>Hourly wage</t>
  </si>
  <si>
    <t>Level of involvement in the job (1=Low, 4=Very High)</t>
  </si>
  <si>
    <t>Job level within the organization</t>
  </si>
  <si>
    <t>Satisfaction with the job (1=Low, 4=Very High)</t>
  </si>
  <si>
    <t>Monthly income</t>
  </si>
  <si>
    <t>Monthly rate of pay</t>
  </si>
  <si>
    <t>Number of companies the employee has worked for</t>
  </si>
  <si>
    <t>Percentage increase in salary</t>
  </si>
  <si>
    <t>Performance rating (1=Low, 4=Outstanding)</t>
  </si>
  <si>
    <t>Level of stock options granted</t>
  </si>
  <si>
    <t>Total years of professional experience</t>
  </si>
  <si>
    <t>Number of training sessions attended last year</t>
  </si>
  <si>
    <t>Total years spent in the company</t>
  </si>
  <si>
    <t>Years spent in the current role</t>
  </si>
  <si>
    <t>Years since last promotion</t>
  </si>
  <si>
    <t>Years spent with the current manager</t>
  </si>
  <si>
    <t>Satisfaction with work-life balance (1=Bad, 5=Best)</t>
  </si>
  <si>
    <t>Satisfaction with relationships at work (1=Low, 5=Very High)</t>
  </si>
  <si>
    <t>0 = 'Female', 1 = 'Female', 2 = 'Prefer not to say', 3 = 'Non-binary'</t>
  </si>
  <si>
    <t>employment_status</t>
  </si>
  <si>
    <t>0 = 'Student', 1 = 'Unemployed', 2 = 'Self-employed', 3 = 'Employed'</t>
  </si>
  <si>
    <t>work_environment</t>
  </si>
  <si>
    <t>0 = 'On-site', 1 = 'Hybrid', 2 = 'Remote'</t>
  </si>
  <si>
    <t>mental_health_history</t>
  </si>
  <si>
    <t>seeks_treatment</t>
  </si>
  <si>
    <t>mental_health_risk</t>
  </si>
  <si>
    <t>gender</t>
  </si>
  <si>
    <t>age</t>
  </si>
  <si>
    <t>stress_level</t>
  </si>
  <si>
    <t>sleep_hours</t>
  </si>
  <si>
    <t>physical_activity_days</t>
  </si>
  <si>
    <t>depression_score</t>
  </si>
  <si>
    <t>anxiety_score</t>
  </si>
  <si>
    <t>social_support_score</t>
  </si>
  <si>
    <t>productivity_score</t>
  </si>
  <si>
    <t>Identifier if the employee is at risk of mental health?</t>
  </si>
  <si>
    <t>Identifier if the employee seeks treatment</t>
  </si>
  <si>
    <t>Age of the individual (in years)</t>
  </si>
  <si>
    <t>Gender identity (e.g., Male, Female, Non-binary, Prefer not to say)</t>
  </si>
  <si>
    <t>Employment type (e.g., Employed, Student, Self-employed, Unemployed)</t>
  </si>
  <si>
    <t>Work setting (e.g., On-site, Remote, Hybrid)</t>
  </si>
  <si>
    <t>Whether the individual has a history of mental health issues (Yes/No)</t>
  </si>
  <si>
    <t>Whether the individual is seeking mental health treatment (Yes/No)</t>
  </si>
  <si>
    <t>Self-reported stress level (scale 1–10)</t>
  </si>
  <si>
    <t>Average number of hours of sleep per night</t>
  </si>
  <si>
    <t>Number of days per week the individual engages in physical activity (0–7)</t>
  </si>
  <si>
    <t>Score on a depression assessment scale (e.g., PHQ-9, range: 0–30)</t>
  </si>
  <si>
    <t>Score on an anxiety assessment scale (e.g., GAD-7, range: 0–21)</t>
  </si>
  <si>
    <t>Perceived level of social support (scale: 0–100)</t>
  </si>
  <si>
    <t>Self-reported or assessed productivity score (scale: 0–100)</t>
  </si>
  <si>
    <t>Overall mental health risk level (e.g., Low, Medium, 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</si>
</sst>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2" fontId="0" fillId="0" borderId="0" xfId="0" applyNumberFormat="1" applyAlignment="1">
      <alignment wrapText="1"/>
    </xf>
    <xf numFmtId="0" fontId="2" fillId="0" borderId="1" xfId="0" applyFont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3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7A5C81-BC5A-8D49-972E-BA765E707612}" name="Table1" displayName="Table1" ref="G4:H9" totalsRowShown="0" headerRowDxfId="31" dataDxfId="30">
  <autoFilter ref="G4:H9" xr:uid="{797A5C81-BC5A-8D49-972E-BA765E707612}"/>
  <tableColumns count="2">
    <tableColumn id="1" xr3:uid="{B9078042-79F6-BA4E-A596-3C004002ED80}" name="Variable" dataDxfId="29"/>
    <tableColumn id="2" xr3:uid="{E5C91980-51D9-E84C-ADA8-260A170A80A2}" name="Coding" dataDxfId="28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3FA1EC-4426-FE46-9642-223657A3F40F}" name="Table2" displayName="Table2" ref="C3:H56" totalsRowShown="0" headerRowDxfId="27" dataDxfId="26">
  <autoFilter ref="C3:H56" xr:uid="{A23FA1EC-4426-FE46-9642-223657A3F40F}"/>
  <tableColumns count="6">
    <tableColumn id="1" xr3:uid="{D9E3B8A4-DF70-3A43-B875-CA9A205979FF}" name="Attribute" dataDxfId="25"/>
    <tableColumn id="2" xr3:uid="{EEDCB8C6-F54F-614E-B3D3-0F0ACE0DBE91}" name="Coefficient" dataDxfId="24"/>
    <tableColumn id="3" xr3:uid="{C0D636F4-B728-424F-94F7-FF1A76E9D986}" name="Std. Coefficient" dataDxfId="23"/>
    <tableColumn id="4" xr3:uid="{B443A09E-69E6-9841-8A30-7CA28BF04CCB}" name="Std Error" dataDxfId="22"/>
    <tableColumn id="5" xr3:uid="{23850012-5F0A-C249-9FDB-47F1AFEDF0DE}" name="z-value" dataDxfId="21"/>
    <tableColumn id="6" xr3:uid="{16A51F83-8657-4043-BFA1-C4D24E4737C0}" name="p-value" dataDxfId="20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9B5161-1510-D74C-A954-D66EFFD9F7AA}" name="Table3" displayName="Table3" ref="D4:G7" totalsRowShown="0" headerRowDxfId="19" dataDxfId="18">
  <autoFilter ref="D4:G7" xr:uid="{779B5161-1510-D74C-A954-D66EFFD9F7AA}"/>
  <tableColumns count="4">
    <tableColumn id="1" xr3:uid="{710C28BC-39C7-714D-9166-6CD4CF212650}" name="Attribute" dataDxfId="17"/>
    <tableColumn id="2" xr3:uid="{666E0332-79FD-664C-ABD9-CB847FF59632}" name="p-value" dataDxfId="16"/>
    <tableColumn id="3" xr3:uid="{F85C1F21-FCD7-7A44-927D-FB2949A86D70}" name="Coefficient" dataDxfId="15"/>
    <tableColumn id="4" xr3:uid="{99929ADD-27E3-F947-81E0-523631A0742A}" name="Odds = EXP(Coefficient)" dataDxfId="14">
      <calculatedColumnFormula>EXP(F5)</calculatedColumnFormula>
    </tableColumn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DED6B6-A24B-9D4F-B2D9-3A7F1DFCDD81}" name="Table36" displayName="Table36" ref="D17:G23" totalsRowShown="0" headerRowDxfId="13" dataDxfId="12">
  <autoFilter ref="D17:G23" xr:uid="{B5DED6B6-A24B-9D4F-B2D9-3A7F1DFCDD81}"/>
  <tableColumns count="4">
    <tableColumn id="1" xr3:uid="{DF06A0AB-145E-A644-A70A-C48D92123219}" name="Attribute" dataDxfId="11"/>
    <tableColumn id="2" xr3:uid="{C2F0143F-94A5-0C4F-A8B2-7B0E158CF94E}" name="p-value" dataDxfId="10"/>
    <tableColumn id="3" xr3:uid="{A356D808-9F2C-C04D-860C-DAEB153C7401}" name="Coefficient" dataDxfId="9"/>
    <tableColumn id="4" xr3:uid="{E4035A0A-AAD4-E54C-B445-56B06874333E}" name="Odds = EXP(Coefficient)" dataDxfId="8">
      <calculatedColumnFormula>EXP(F18)</calculatedColumnFormula>
    </tableColumn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08DFB1-F7D4-0F4C-899D-24BB8116B974}" name="Table4" displayName="Table4" ref="D7:E11" totalsRowShown="0">
  <autoFilter ref="D7:E11" xr:uid="{B908DFB1-F7D4-0F4C-899D-24BB8116B974}"/>
  <tableColumns count="2">
    <tableColumn id="1" xr3:uid="{08C1FF10-3BA2-2E4C-A2C6-03C423E09BE1}" name="Variable"/>
    <tableColumn id="2" xr3:uid="{BB3BEB75-FBDD-B24C-8C28-34D9BB1198CE}" name="Description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054BB6-D830-7747-93A3-B8DD17B13837}" name="Table6" displayName="Table6" ref="O10:P40" totalsRowShown="0" headerRowDxfId="7" dataDxfId="6">
  <autoFilter ref="O10:P40" xr:uid="{C7054BB6-D830-7747-93A3-B8DD17B13837}"/>
  <tableColumns count="2">
    <tableColumn id="1" xr3:uid="{90C53490-DAE3-6349-AC79-26C50787A1E6}" name="Variables" dataDxfId="5"/>
    <tableColumn id="2" xr3:uid="{39405153-01A4-B046-A35F-AEE5BF780BE2}" name="Description" dataDxfId="4"/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61F2AB-AB3F-2349-B945-D00F02FDD453}" name="Table18" displayName="Table18" ref="E8:F14" totalsRowShown="0" headerRowDxfId="3" dataDxfId="2">
  <autoFilter ref="E8:F14" xr:uid="{0C61F2AB-AB3F-2349-B945-D00F02FDD453}"/>
  <tableColumns count="2">
    <tableColumn id="1" xr3:uid="{07B37BCC-C0BA-A044-BCB9-294F47CAEDFF}" name="Variable" dataDxfId="1"/>
    <tableColumn id="2" xr3:uid="{22464051-DF63-ED4F-B5D3-11051C4A967E}" name="Coding" dataDxfId="0"/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2A5832-191B-884E-8B9C-B24311C84964}" name="Table49" displayName="Table49" ref="F7:G21" totalsRowShown="0">
  <autoFilter ref="F7:G21" xr:uid="{642A5832-191B-884E-8B9C-B24311C84964}"/>
  <tableColumns count="2">
    <tableColumn id="1" xr3:uid="{F70530BE-2407-AE48-8631-BFEDAAA63423}" name="Variable"/>
    <tableColumn id="2" xr3:uid="{82A08286-6D17-F045-B302-AEB49538C59E}" name="Description"/>
  </tableColumns>
  <tableStyleInfo name="TableStyleLight1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12CE3D1-1BA6-0D47-BF50-8BD3F278B99A}" name="Table9" displayName="Table9" ref="F25:G39" totalsRowShown="0">
  <autoFilter ref="F25:G39" xr:uid="{212CE3D1-1BA6-0D47-BF50-8BD3F278B99A}"/>
  <tableColumns count="2">
    <tableColumn id="1" xr3:uid="{192CE0BE-500F-E54B-B0B6-DAA587DF1F10}" name="Variable"/>
    <tableColumn id="2" xr3:uid="{85D0F0AA-ACE2-6944-9503-C14882D631C9}" name="Description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6AB22-3B4C-D040-842E-014A5F4F4218}">
  <dimension ref="G4:H19"/>
  <sheetViews>
    <sheetView zoomScale="134" workbookViewId="0">
      <selection activeCell="G4" sqref="G4:H9"/>
    </sheetView>
  </sheetViews>
  <sheetFormatPr baseColWidth="10" defaultRowHeight="16" x14ac:dyDescent="0.2"/>
  <cols>
    <col min="6" max="6" width="4.6640625" customWidth="1"/>
    <col min="7" max="7" width="14.83203125" customWidth="1"/>
    <col min="8" max="8" width="65" customWidth="1"/>
  </cols>
  <sheetData>
    <row r="4" spans="7:8" ht="17" x14ac:dyDescent="0.2">
      <c r="G4" s="2" t="s">
        <v>0</v>
      </c>
      <c r="H4" s="2" t="s">
        <v>1</v>
      </c>
    </row>
    <row r="5" spans="7:8" ht="17" x14ac:dyDescent="0.2">
      <c r="G5" s="1" t="s">
        <v>2</v>
      </c>
      <c r="H5" s="1" t="s">
        <v>3</v>
      </c>
    </row>
    <row r="6" spans="7:8" ht="17" x14ac:dyDescent="0.2">
      <c r="G6" s="1" t="s">
        <v>10</v>
      </c>
      <c r="H6" s="1" t="s">
        <v>4</v>
      </c>
    </row>
    <row r="7" spans="7:8" ht="17" x14ac:dyDescent="0.2">
      <c r="G7" s="1" t="s">
        <v>5</v>
      </c>
      <c r="H7" s="1" t="s">
        <v>6</v>
      </c>
    </row>
    <row r="8" spans="7:8" ht="17" x14ac:dyDescent="0.2">
      <c r="G8" s="1" t="s">
        <v>9</v>
      </c>
      <c r="H8" s="1" t="s">
        <v>7</v>
      </c>
    </row>
    <row r="9" spans="7:8" ht="17" x14ac:dyDescent="0.2">
      <c r="G9" s="1" t="s">
        <v>8</v>
      </c>
      <c r="H9" s="1" t="s">
        <v>7</v>
      </c>
    </row>
    <row r="17" spans="7:8" ht="18" thickBot="1" x14ac:dyDescent="0.25">
      <c r="G17" s="4" t="s">
        <v>0</v>
      </c>
      <c r="H17" s="4" t="s">
        <v>1</v>
      </c>
    </row>
    <row r="18" spans="7:8" ht="153" x14ac:dyDescent="0.2">
      <c r="G18" s="5" t="s">
        <v>71</v>
      </c>
      <c r="H18" s="5" t="s">
        <v>73</v>
      </c>
    </row>
    <row r="19" spans="7:8" ht="289" x14ac:dyDescent="0.2">
      <c r="G19" s="6" t="s">
        <v>72</v>
      </c>
      <c r="H19" s="6" t="s">
        <v>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F13D-F69C-A046-84FA-880D8C60FFC2}">
  <dimension ref="C3:H56"/>
  <sheetViews>
    <sheetView workbookViewId="0">
      <selection activeCell="H34" sqref="H34"/>
    </sheetView>
  </sheetViews>
  <sheetFormatPr baseColWidth="10" defaultRowHeight="16" x14ac:dyDescent="0.2"/>
  <cols>
    <col min="3" max="3" width="18.33203125" customWidth="1"/>
    <col min="4" max="8" width="14.6640625" customWidth="1"/>
  </cols>
  <sheetData>
    <row r="3" spans="3:8" ht="17" x14ac:dyDescent="0.2">
      <c r="C3" s="1" t="s">
        <v>64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69</v>
      </c>
    </row>
    <row r="4" spans="3:8" ht="17" x14ac:dyDescent="0.2">
      <c r="C4" s="1" t="s">
        <v>11</v>
      </c>
      <c r="D4" s="3">
        <v>0.28304273186054502</v>
      </c>
      <c r="E4" s="3">
        <v>0.28304273186054502</v>
      </c>
      <c r="F4" s="3">
        <v>0.12338948498077799</v>
      </c>
      <c r="G4" s="3">
        <v>2.2938966955299098</v>
      </c>
      <c r="H4" s="3">
        <v>2.17964332823288E-2</v>
      </c>
    </row>
    <row r="5" spans="3:8" ht="17" x14ac:dyDescent="0.2">
      <c r="C5" s="1" t="s">
        <v>12</v>
      </c>
      <c r="D5" s="3">
        <v>4.5254485860122998E-2</v>
      </c>
      <c r="E5" s="3">
        <v>4.5254485860122998E-2</v>
      </c>
      <c r="F5" s="3">
        <v>0.129687235406274</v>
      </c>
      <c r="G5" s="3">
        <v>0.34895096435939299</v>
      </c>
      <c r="H5" s="3">
        <v>0.72712612304745305</v>
      </c>
    </row>
    <row r="6" spans="3:8" ht="17" x14ac:dyDescent="0.2">
      <c r="C6" s="1" t="s">
        <v>13</v>
      </c>
      <c r="D6" s="3">
        <v>0.312866752929573</v>
      </c>
      <c r="E6" s="3">
        <v>0.312866752929573</v>
      </c>
      <c r="F6" s="3">
        <v>0.101219294442352</v>
      </c>
      <c r="G6" s="3">
        <v>3.0909793893866802</v>
      </c>
      <c r="H6" s="3">
        <v>1.9949748104425499E-3</v>
      </c>
    </row>
    <row r="7" spans="3:8" ht="17" x14ac:dyDescent="0.2">
      <c r="C7" s="1" t="s">
        <v>14</v>
      </c>
      <c r="D7" s="3">
        <v>-0.13385299447801899</v>
      </c>
      <c r="E7" s="3">
        <v>-0.13385299447801899</v>
      </c>
      <c r="F7" s="3">
        <v>0.132009072763766</v>
      </c>
      <c r="G7" s="3">
        <v>-1.0139681438226</v>
      </c>
      <c r="H7" s="3">
        <v>0.31059795324635497</v>
      </c>
    </row>
    <row r="8" spans="3:8" ht="17" x14ac:dyDescent="0.2">
      <c r="C8" s="1" t="s">
        <v>15</v>
      </c>
      <c r="D8" s="3">
        <v>0.171789493203027</v>
      </c>
      <c r="E8" s="3">
        <v>0.171789493203027</v>
      </c>
      <c r="F8" s="3">
        <v>0.127178506762676</v>
      </c>
      <c r="G8" s="3">
        <v>1.35077457328224</v>
      </c>
      <c r="H8" s="3">
        <v>0.17676765547645801</v>
      </c>
    </row>
    <row r="9" spans="3:8" ht="17" x14ac:dyDescent="0.2">
      <c r="C9" s="1" t="s">
        <v>16</v>
      </c>
      <c r="D9" s="3">
        <v>2.0367560738002399E-2</v>
      </c>
      <c r="E9" s="3">
        <v>2.0367560738002399E-2</v>
      </c>
      <c r="F9" s="3">
        <v>0.12814594164311699</v>
      </c>
      <c r="G9" s="3">
        <v>0.15894034939261201</v>
      </c>
      <c r="H9" s="3">
        <v>0.87371587052344102</v>
      </c>
    </row>
    <row r="10" spans="3:8" ht="17" x14ac:dyDescent="0.2">
      <c r="C10" s="1" t="s">
        <v>17</v>
      </c>
      <c r="D10" s="3">
        <v>0.16636929055980099</v>
      </c>
      <c r="E10" s="3">
        <v>0.16636929055980099</v>
      </c>
      <c r="F10" s="3">
        <v>0.26083935184838603</v>
      </c>
      <c r="G10" s="3">
        <v>0.63782281845457101</v>
      </c>
      <c r="H10" s="3">
        <v>0.52358902398321305</v>
      </c>
    </row>
    <row r="11" spans="3:8" ht="17" x14ac:dyDescent="0.2">
      <c r="C11" s="1" t="s">
        <v>18</v>
      </c>
      <c r="D11" s="3">
        <v>4.0138569862023098E-2</v>
      </c>
      <c r="E11" s="3">
        <v>4.0138569862023098E-2</v>
      </c>
      <c r="F11" s="3">
        <v>0.13142148240187199</v>
      </c>
      <c r="G11" s="3">
        <v>0.30541863573935202</v>
      </c>
      <c r="H11" s="3">
        <v>0.76004733015763903</v>
      </c>
    </row>
    <row r="12" spans="3:8" ht="17" x14ac:dyDescent="0.2">
      <c r="C12" s="1" t="s">
        <v>19</v>
      </c>
      <c r="D12" s="3">
        <v>-0.34363902493394399</v>
      </c>
      <c r="E12" s="3">
        <v>-0.34363902493394399</v>
      </c>
      <c r="F12" s="3">
        <v>0.101394149335769</v>
      </c>
      <c r="G12" s="3">
        <v>-3.3891405686138198</v>
      </c>
      <c r="H12" s="3">
        <v>7.0112058827921002E-4</v>
      </c>
    </row>
    <row r="13" spans="3:8" ht="17" x14ac:dyDescent="0.2">
      <c r="C13" s="1" t="s">
        <v>20</v>
      </c>
      <c r="D13" s="3">
        <v>-0.79375169051385097</v>
      </c>
      <c r="E13" s="3">
        <v>-0.79375169051385097</v>
      </c>
      <c r="F13" s="3">
        <v>0.25473792071483498</v>
      </c>
      <c r="G13" s="3">
        <v>-3.1159541865084601</v>
      </c>
      <c r="H13" s="3">
        <v>1.83350755264643E-3</v>
      </c>
    </row>
    <row r="14" spans="3:8" ht="17" x14ac:dyDescent="0.2">
      <c r="C14" s="1" t="s">
        <v>21</v>
      </c>
      <c r="D14" s="3">
        <v>3.99209034433992E-2</v>
      </c>
      <c r="E14" s="3">
        <v>3.99209034433992E-2</v>
      </c>
      <c r="F14" s="3">
        <v>0.157125541069951</v>
      </c>
      <c r="G14" s="3">
        <v>0.25407010961780302</v>
      </c>
      <c r="H14" s="3">
        <v>0.79944139489854205</v>
      </c>
    </row>
    <row r="15" spans="3:8" ht="17" x14ac:dyDescent="0.2">
      <c r="C15" s="1" t="s">
        <v>22</v>
      </c>
      <c r="D15" s="3">
        <v>-0.22538971121016901</v>
      </c>
      <c r="E15" s="3">
        <v>-0.22538971121016901</v>
      </c>
      <c r="F15" s="3">
        <v>0.146272069551838</v>
      </c>
      <c r="G15" s="3">
        <v>-1.5408937051395899</v>
      </c>
      <c r="H15" s="3">
        <v>0.12334265813214</v>
      </c>
    </row>
    <row r="16" spans="3:8" ht="17" x14ac:dyDescent="0.2">
      <c r="C16" s="1" t="s">
        <v>23</v>
      </c>
      <c r="D16" s="3">
        <v>-0.44200724472663699</v>
      </c>
      <c r="E16" s="3">
        <v>-0.44200724472663699</v>
      </c>
      <c r="F16" s="3">
        <v>0.13131795162557799</v>
      </c>
      <c r="G16" s="3">
        <v>-3.3659316129672301</v>
      </c>
      <c r="H16" s="3">
        <v>7.6285618527996803E-4</v>
      </c>
    </row>
    <row r="17" spans="3:8" ht="17" x14ac:dyDescent="0.2">
      <c r="C17" s="1" t="s">
        <v>24</v>
      </c>
      <c r="D17" s="3">
        <v>-0.27656931908578197</v>
      </c>
      <c r="E17" s="3">
        <v>-0.27656931908578197</v>
      </c>
      <c r="F17" s="3">
        <v>0.14965223573792899</v>
      </c>
      <c r="G17" s="3">
        <v>-1.84808010199132</v>
      </c>
      <c r="H17" s="3">
        <v>6.45907558392705E-2</v>
      </c>
    </row>
    <row r="18" spans="3:8" ht="17" x14ac:dyDescent="0.2">
      <c r="C18" s="1" t="s">
        <v>25</v>
      </c>
      <c r="D18" s="3">
        <v>-0.47527067017868102</v>
      </c>
      <c r="E18" s="3">
        <v>-0.47527067017868102</v>
      </c>
      <c r="F18" s="3">
        <v>0.192000740894026</v>
      </c>
      <c r="G18" s="3">
        <v>-2.4753585218767702</v>
      </c>
      <c r="H18" s="3">
        <v>1.3310248536168801E-2</v>
      </c>
    </row>
    <row r="19" spans="3:8" ht="17" x14ac:dyDescent="0.2">
      <c r="C19" s="1" t="s">
        <v>26</v>
      </c>
      <c r="D19" s="3">
        <v>-0.65230376134387802</v>
      </c>
      <c r="E19" s="3">
        <v>-0.65230376134387802</v>
      </c>
      <c r="F19" s="3">
        <v>0.26007087630957298</v>
      </c>
      <c r="G19" s="3">
        <v>-2.50817688854716</v>
      </c>
      <c r="H19" s="3">
        <v>1.2135589936531599E-2</v>
      </c>
    </row>
    <row r="20" spans="3:8" ht="17" x14ac:dyDescent="0.2">
      <c r="C20" s="1" t="s">
        <v>27</v>
      </c>
      <c r="D20" s="3">
        <v>0.23983788679700899</v>
      </c>
      <c r="E20" s="3">
        <v>0.23983788679700899</v>
      </c>
      <c r="F20" s="3">
        <v>0.242397173486742</v>
      </c>
      <c r="G20" s="3">
        <v>0.98944176347884205</v>
      </c>
      <c r="H20" s="3">
        <v>0.32244704965725601</v>
      </c>
    </row>
    <row r="21" spans="3:8" ht="17" x14ac:dyDescent="0.2">
      <c r="C21" s="1" t="s">
        <v>28</v>
      </c>
      <c r="D21" s="3">
        <v>0.26830158097536499</v>
      </c>
      <c r="E21" s="3">
        <v>0.26830158097536499</v>
      </c>
      <c r="F21" s="3">
        <v>0.24059775366623901</v>
      </c>
      <c r="G21" s="3">
        <v>1.1151458269537999</v>
      </c>
      <c r="H21" s="3">
        <v>0.26478793616443602</v>
      </c>
    </row>
    <row r="22" spans="3:8" ht="17" x14ac:dyDescent="0.2">
      <c r="C22" s="1" t="s">
        <v>29</v>
      </c>
      <c r="D22" s="3">
        <v>0.267950986650553</v>
      </c>
      <c r="E22" s="3">
        <v>0.267950986650553</v>
      </c>
      <c r="F22" s="3">
        <v>0.255944347188725</v>
      </c>
      <c r="G22" s="3">
        <v>1.04691113358708</v>
      </c>
      <c r="H22" s="3">
        <v>0.29514056642025199</v>
      </c>
    </row>
    <row r="23" spans="3:8" ht="17" x14ac:dyDescent="0.2">
      <c r="C23" s="1" t="s">
        <v>30</v>
      </c>
      <c r="D23" s="3">
        <v>0.21483617678382699</v>
      </c>
      <c r="E23" s="3">
        <v>0.21483617678382699</v>
      </c>
      <c r="F23" s="3">
        <v>0.26932836028437301</v>
      </c>
      <c r="G23" s="3">
        <v>0.797673800698114</v>
      </c>
      <c r="H23" s="3">
        <v>0.42505981136735299</v>
      </c>
    </row>
    <row r="24" spans="3:8" ht="17" x14ac:dyDescent="0.2">
      <c r="C24" s="1" t="s">
        <v>31</v>
      </c>
      <c r="D24" s="3">
        <v>0.71393475462479905</v>
      </c>
      <c r="E24" s="3">
        <v>0.71393475462479905</v>
      </c>
      <c r="F24" s="3">
        <v>0.26004004767377098</v>
      </c>
      <c r="G24" s="3">
        <v>2.7454800174488998</v>
      </c>
      <c r="H24" s="3">
        <v>6.0422447038134897E-3</v>
      </c>
    </row>
    <row r="25" spans="3:8" ht="17" x14ac:dyDescent="0.2">
      <c r="C25" s="1" t="s">
        <v>32</v>
      </c>
      <c r="D25" s="3">
        <v>-0.241267826339542</v>
      </c>
      <c r="E25" s="3">
        <v>-0.241267826339542</v>
      </c>
      <c r="F25" s="3">
        <v>8.7363176954240299E-2</v>
      </c>
      <c r="G25" s="3">
        <v>-2.7616649800397601</v>
      </c>
      <c r="H25" s="3">
        <v>5.7507454080803497E-3</v>
      </c>
    </row>
    <row r="26" spans="3:8" ht="17" x14ac:dyDescent="0.2">
      <c r="C26" s="1" t="s">
        <v>33</v>
      </c>
      <c r="D26" s="3">
        <v>0.37212578785981199</v>
      </c>
      <c r="E26" s="3">
        <v>0.37212578785981199</v>
      </c>
      <c r="F26" s="3">
        <v>8.4493209336599706E-2</v>
      </c>
      <c r="G26" s="3">
        <v>4.40420941258553</v>
      </c>
      <c r="H26" s="3">
        <v>1.06170347933197E-5</v>
      </c>
    </row>
    <row r="27" spans="3:8" ht="17" x14ac:dyDescent="0.2">
      <c r="C27" s="1" t="s">
        <v>34</v>
      </c>
      <c r="D27" s="3">
        <v>0.114407680630533</v>
      </c>
      <c r="E27" s="3">
        <v>0.114407680630533</v>
      </c>
      <c r="F27" s="3">
        <v>0.17725228621376299</v>
      </c>
      <c r="G27" s="3">
        <v>0.64545108598802403</v>
      </c>
      <c r="H27" s="3">
        <v>0.51863490676850099</v>
      </c>
    </row>
    <row r="28" spans="3:8" ht="17" x14ac:dyDescent="0.2">
      <c r="C28" s="1" t="s">
        <v>35</v>
      </c>
      <c r="D28" s="3">
        <v>-0.37370424842716499</v>
      </c>
      <c r="E28" s="3">
        <v>-0.37370424842716499</v>
      </c>
      <c r="F28" s="3">
        <v>0.16942663176848399</v>
      </c>
      <c r="G28" s="3">
        <v>-2.2056995675733999</v>
      </c>
      <c r="H28" s="3">
        <v>2.7405042222500099E-2</v>
      </c>
    </row>
    <row r="29" spans="3:8" ht="17" x14ac:dyDescent="0.2">
      <c r="C29" s="1" t="s">
        <v>36</v>
      </c>
      <c r="D29" s="3">
        <v>-0.66191622540499795</v>
      </c>
      <c r="E29" s="3">
        <v>-0.66191622540499795</v>
      </c>
      <c r="F29" s="3">
        <v>0.12211529439801</v>
      </c>
      <c r="G29" s="3">
        <v>-5.4204203385663696</v>
      </c>
      <c r="H29" s="3">
        <v>5.9459063649368201E-8</v>
      </c>
    </row>
    <row r="30" spans="3:8" ht="17" x14ac:dyDescent="0.2">
      <c r="C30" s="1" t="s">
        <v>37</v>
      </c>
      <c r="D30" s="3">
        <v>0.61032175056386395</v>
      </c>
      <c r="E30" s="3">
        <v>0.61032175056386395</v>
      </c>
      <c r="F30" s="3">
        <v>7.5566624171640701E-2</v>
      </c>
      <c r="G30" s="3">
        <v>8.0766046816857902</v>
      </c>
      <c r="H30" s="3">
        <v>6.6594995358619798E-16</v>
      </c>
    </row>
    <row r="31" spans="3:8" ht="17" x14ac:dyDescent="0.2">
      <c r="C31" s="1" t="s">
        <v>38</v>
      </c>
      <c r="D31" s="3">
        <v>9.33877419614767E-2</v>
      </c>
      <c r="E31" s="3">
        <v>9.33877419614767E-2</v>
      </c>
      <c r="F31" s="3">
        <v>6.5080836177331097E-2</v>
      </c>
      <c r="G31" s="3">
        <v>1.43494993990266</v>
      </c>
      <c r="H31" s="3">
        <v>0.151301363272665</v>
      </c>
    </row>
    <row r="32" spans="3:8" ht="17" x14ac:dyDescent="0.2">
      <c r="C32" s="1" t="s">
        <v>39</v>
      </c>
      <c r="D32" s="3">
        <v>-0.93696569557212805</v>
      </c>
      <c r="E32" s="3">
        <v>-0.93696569557212805</v>
      </c>
      <c r="F32" s="3">
        <v>6.7323221109459694E-2</v>
      </c>
      <c r="G32" s="3">
        <v>-13.9174222524013</v>
      </c>
      <c r="H32" s="3">
        <v>4.96489644942524E-44</v>
      </c>
    </row>
    <row r="33" spans="3:8" ht="17" x14ac:dyDescent="0.2">
      <c r="C33" s="1" t="s">
        <v>40</v>
      </c>
      <c r="D33" s="3">
        <v>-4.4712651780029998E-2</v>
      </c>
      <c r="E33" s="3">
        <v>-0.42180567337153102</v>
      </c>
      <c r="F33" s="3">
        <v>3.6719629202765199E-3</v>
      </c>
      <c r="G33" s="3">
        <v>-12.176771048838001</v>
      </c>
      <c r="H33" s="3">
        <v>4.1332371633913502E-34</v>
      </c>
    </row>
    <row r="34" spans="3:8" ht="17" x14ac:dyDescent="0.2">
      <c r="C34" s="1" t="s">
        <v>41</v>
      </c>
      <c r="D34" s="3">
        <v>-3.7145824805522498E-4</v>
      </c>
      <c r="E34" s="3">
        <v>-0.15063777615667601</v>
      </c>
      <c r="F34" s="3">
        <v>7.7574535877074797E-5</v>
      </c>
      <c r="G34" s="3">
        <v>-4.7884043888298704</v>
      </c>
      <c r="H34" s="3">
        <v>1.6811262455799299E-6</v>
      </c>
    </row>
    <row r="35" spans="3:8" ht="17" x14ac:dyDescent="0.2">
      <c r="C35" s="1" t="s">
        <v>42</v>
      </c>
      <c r="D35" s="3">
        <v>2.4944419978447201E-2</v>
      </c>
      <c r="E35" s="3">
        <v>0.20540668435870399</v>
      </c>
      <c r="F35" s="3">
        <v>4.40152993869318E-3</v>
      </c>
      <c r="G35" s="3">
        <v>5.6672157922100199</v>
      </c>
      <c r="H35" s="3">
        <v>1.45136511405926E-8</v>
      </c>
    </row>
    <row r="36" spans="3:8" ht="17" x14ac:dyDescent="0.2">
      <c r="C36" s="1" t="s">
        <v>43</v>
      </c>
      <c r="D36" s="3">
        <v>9.3976240079464094E-3</v>
      </c>
      <c r="E36" s="3">
        <v>9.7597908703081701E-3</v>
      </c>
      <c r="F36" s="3">
        <v>3.0786975139163501E-2</v>
      </c>
      <c r="G36" s="3">
        <v>0.30524674689433401</v>
      </c>
      <c r="H36" s="3">
        <v>0.76017823133118101</v>
      </c>
    </row>
    <row r="37" spans="3:8" ht="34" x14ac:dyDescent="0.2">
      <c r="C37" s="1" t="s">
        <v>44</v>
      </c>
      <c r="D37" s="3">
        <v>-0.12998785765135801</v>
      </c>
      <c r="E37" s="3">
        <v>-0.144364391096893</v>
      </c>
      <c r="F37" s="3">
        <v>3.1977544773594699E-2</v>
      </c>
      <c r="G37" s="3">
        <v>-4.0649730481714501</v>
      </c>
      <c r="H37" s="3">
        <v>4.8038012870224197E-5</v>
      </c>
    </row>
    <row r="38" spans="3:8" ht="17" x14ac:dyDescent="0.2">
      <c r="C38" s="1" t="s">
        <v>45</v>
      </c>
      <c r="D38" s="3">
        <v>7.2865949069012498E-3</v>
      </c>
      <c r="E38" s="3">
        <v>0.14757403467254199</v>
      </c>
      <c r="F38" s="3">
        <v>1.74205466093214E-3</v>
      </c>
      <c r="G38" s="3">
        <v>4.1827590547602602</v>
      </c>
      <c r="H38" s="3">
        <v>2.8799256473878502E-5</v>
      </c>
    </row>
    <row r="39" spans="3:8" ht="17" x14ac:dyDescent="0.2">
      <c r="C39" s="1" t="s">
        <v>46</v>
      </c>
      <c r="D39" s="3">
        <v>-0.260666283214748</v>
      </c>
      <c r="E39" s="3">
        <v>-0.188582180587375</v>
      </c>
      <c r="F39" s="3">
        <v>4.3708881586942999E-2</v>
      </c>
      <c r="G39" s="3">
        <v>-5.9636914455531604</v>
      </c>
      <c r="H39" s="3">
        <v>2.4660221335626201E-9</v>
      </c>
    </row>
    <row r="40" spans="3:8" ht="17" x14ac:dyDescent="0.2">
      <c r="C40" s="1" t="s">
        <v>47</v>
      </c>
      <c r="D40" s="3">
        <v>-0.14442736701159001</v>
      </c>
      <c r="E40" s="3">
        <v>-0.155344231784005</v>
      </c>
      <c r="F40" s="3">
        <v>9.7754098623510699E-2</v>
      </c>
      <c r="G40" s="3">
        <v>-1.4774558718794599</v>
      </c>
      <c r="H40" s="3">
        <v>0.139553478790262</v>
      </c>
    </row>
    <row r="41" spans="3:8" ht="17" x14ac:dyDescent="0.2">
      <c r="C41" s="1" t="s">
        <v>48</v>
      </c>
      <c r="D41" s="3">
        <v>-0.18440153101700299</v>
      </c>
      <c r="E41" s="3">
        <v>-0.20409029920232399</v>
      </c>
      <c r="F41" s="3">
        <v>2.8551516514050499E-2</v>
      </c>
      <c r="G41" s="3">
        <v>-6.4585546945030901</v>
      </c>
      <c r="H41" s="3">
        <v>1.05707658941927E-10</v>
      </c>
    </row>
    <row r="42" spans="3:8" ht="17" x14ac:dyDescent="0.2">
      <c r="C42" s="1" t="s">
        <v>49</v>
      </c>
      <c r="D42" s="3">
        <v>4.4497868156223503E-5</v>
      </c>
      <c r="E42" s="3">
        <v>0.20036240276815101</v>
      </c>
      <c r="F42" s="3">
        <v>2.54726877634454E-5</v>
      </c>
      <c r="G42" s="3">
        <v>1.7468854708014001</v>
      </c>
      <c r="H42" s="3">
        <v>8.0657206578659005E-2</v>
      </c>
    </row>
    <row r="43" spans="3:8" ht="17" x14ac:dyDescent="0.2">
      <c r="C43" s="1" t="s">
        <v>50</v>
      </c>
      <c r="D43" s="3">
        <v>6.3690217638265597E-7</v>
      </c>
      <c r="E43" s="3">
        <v>4.4850594059098799E-3</v>
      </c>
      <c r="F43" s="3">
        <v>4.4606754054932798E-6</v>
      </c>
      <c r="G43" s="3">
        <v>0.142781556263501</v>
      </c>
      <c r="H43" s="3">
        <v>0.88646270379274095</v>
      </c>
    </row>
    <row r="44" spans="3:8" ht="34" x14ac:dyDescent="0.2">
      <c r="C44" s="1" t="s">
        <v>51</v>
      </c>
      <c r="D44" s="3">
        <v>2.3930945217868101E-2</v>
      </c>
      <c r="E44" s="3">
        <v>6.1953463551880299E-2</v>
      </c>
      <c r="F44" s="3">
        <v>1.4176225725070799E-2</v>
      </c>
      <c r="G44" s="3">
        <v>1.6881041316622001</v>
      </c>
      <c r="H44" s="3">
        <v>9.1391241485844196E-2</v>
      </c>
    </row>
    <row r="45" spans="3:8" ht="17" x14ac:dyDescent="0.2">
      <c r="C45" s="1" t="s">
        <v>52</v>
      </c>
      <c r="D45" s="3">
        <v>-2.2989421877651101E-2</v>
      </c>
      <c r="E45" s="3">
        <v>-8.5564944820563496E-2</v>
      </c>
      <c r="F45" s="3">
        <v>9.3612782561857E-3</v>
      </c>
      <c r="G45" s="3">
        <v>-2.4557994376954002</v>
      </c>
      <c r="H45" s="3">
        <v>1.40571586685017E-2</v>
      </c>
    </row>
    <row r="46" spans="3:8" ht="17" x14ac:dyDescent="0.2">
      <c r="C46" s="1" t="s">
        <v>53</v>
      </c>
      <c r="D46" s="3">
        <v>9.9043732781798302E-2</v>
      </c>
      <c r="E46" s="3">
        <v>3.5196061082907099E-2</v>
      </c>
      <c r="F46" s="3">
        <v>9.6617708204821504E-2</v>
      </c>
      <c r="G46" s="3">
        <v>1.02510952310971</v>
      </c>
      <c r="H46" s="3">
        <v>0.305311512589517</v>
      </c>
    </row>
    <row r="47" spans="3:8" ht="34" x14ac:dyDescent="0.2">
      <c r="C47" s="1" t="s">
        <v>54</v>
      </c>
      <c r="D47" s="3">
        <v>-5.5358557799915997E-2</v>
      </c>
      <c r="E47" s="3">
        <v>-6.0120007478093797E-2</v>
      </c>
      <c r="F47" s="3">
        <v>2.8897985928077501E-2</v>
      </c>
      <c r="G47" s="3">
        <v>-1.9156545351532299</v>
      </c>
      <c r="H47" s="3">
        <v>5.5409083057604398E-2</v>
      </c>
    </row>
    <row r="48" spans="3:8" ht="17" x14ac:dyDescent="0.2">
      <c r="C48" s="1" t="s">
        <v>55</v>
      </c>
      <c r="D48" s="3">
        <v>-0.102160106701394</v>
      </c>
      <c r="E48" s="3">
        <v>-8.8025068540737897E-2</v>
      </c>
      <c r="F48" s="3">
        <v>4.7363320273900597E-2</v>
      </c>
      <c r="G48" s="3">
        <v>-2.1569456303022201</v>
      </c>
      <c r="H48" s="3">
        <v>3.1009900996026699E-2</v>
      </c>
    </row>
    <row r="49" spans="3:8" ht="17" x14ac:dyDescent="0.2">
      <c r="C49" s="1" t="s">
        <v>56</v>
      </c>
      <c r="D49" s="3">
        <v>-9.0796708370567501E-3</v>
      </c>
      <c r="E49" s="3">
        <v>-7.0269979527609994E-2</v>
      </c>
      <c r="F49" s="3">
        <v>7.6889011148422101E-3</v>
      </c>
      <c r="G49" s="3">
        <v>-1.18088016758726</v>
      </c>
      <c r="H49" s="3">
        <v>0.23765033093742099</v>
      </c>
    </row>
    <row r="50" spans="3:8" ht="34" x14ac:dyDescent="0.2">
      <c r="C50" s="1" t="s">
        <v>57</v>
      </c>
      <c r="D50" s="3">
        <v>-0.12979787462980599</v>
      </c>
      <c r="E50" s="3">
        <v>-0.164537279107389</v>
      </c>
      <c r="F50" s="3">
        <v>2.54203242487707E-2</v>
      </c>
      <c r="G50" s="3">
        <v>-5.1060668368965798</v>
      </c>
      <c r="H50" s="3">
        <v>3.28933387283673E-7</v>
      </c>
    </row>
    <row r="51" spans="3:8" ht="17" x14ac:dyDescent="0.2">
      <c r="C51" s="1" t="s">
        <v>58</v>
      </c>
      <c r="D51" s="3">
        <v>-4.2468828270867599E-2</v>
      </c>
      <c r="E51" s="3">
        <v>-3.03076894215417E-2</v>
      </c>
      <c r="F51" s="3">
        <v>4.4137070332820903E-2</v>
      </c>
      <c r="G51" s="3">
        <v>-0.96220315373508702</v>
      </c>
      <c r="H51" s="3">
        <v>0.33594756525792702</v>
      </c>
    </row>
    <row r="52" spans="3:8" ht="17" x14ac:dyDescent="0.2">
      <c r="C52" s="1" t="s">
        <v>59</v>
      </c>
      <c r="D52" s="3">
        <v>1.7291246287589501E-2</v>
      </c>
      <c r="E52" s="3">
        <v>0.106103324216251</v>
      </c>
      <c r="F52" s="3">
        <v>1.0832857448590199E-2</v>
      </c>
      <c r="G52" s="3">
        <v>1.5961851588695699</v>
      </c>
      <c r="H52" s="3">
        <v>0.11044746009635301</v>
      </c>
    </row>
    <row r="53" spans="3:8" ht="17" x14ac:dyDescent="0.2">
      <c r="C53" s="1" t="s">
        <v>60</v>
      </c>
      <c r="D53" s="3">
        <v>-7.6648974501518793E-2</v>
      </c>
      <c r="E53" s="3">
        <v>-0.26791697186215102</v>
      </c>
      <c r="F53" s="3">
        <v>1.47912161599163E-2</v>
      </c>
      <c r="G53" s="3">
        <v>-5.18206033045713</v>
      </c>
      <c r="H53" s="3">
        <v>2.1944820414330899E-7</v>
      </c>
    </row>
    <row r="54" spans="3:8" ht="34" x14ac:dyDescent="0.2">
      <c r="C54" s="1" t="s">
        <v>61</v>
      </c>
      <c r="D54" s="3">
        <v>5.0694656076337899E-2</v>
      </c>
      <c r="E54" s="3">
        <v>0.16084266029477901</v>
      </c>
      <c r="F54" s="3">
        <v>1.29899661348185E-2</v>
      </c>
      <c r="G54" s="3">
        <v>3.9026010961225799</v>
      </c>
      <c r="H54" s="3">
        <v>9.5164469328935198E-5</v>
      </c>
    </row>
    <row r="55" spans="3:8" ht="34" x14ac:dyDescent="0.2">
      <c r="C55" s="1" t="s">
        <v>62</v>
      </c>
      <c r="D55" s="3">
        <v>-1.50149788848724E-3</v>
      </c>
      <c r="E55" s="3">
        <v>-5.2555957377971897E-3</v>
      </c>
      <c r="F55" s="3">
        <v>1.52446799864401E-2</v>
      </c>
      <c r="G55" s="3">
        <v>-9.8493237629310407E-2</v>
      </c>
      <c r="H55" s="3">
        <v>0.92154064144219405</v>
      </c>
    </row>
    <row r="56" spans="3:8" ht="17" x14ac:dyDescent="0.2">
      <c r="C56" s="1" t="s">
        <v>63</v>
      </c>
      <c r="D56" s="3">
        <v>3.9638206508368699</v>
      </c>
      <c r="E56" s="3">
        <v>0.44911100593328102</v>
      </c>
      <c r="F56" s="3">
        <v>0.48339800327847099</v>
      </c>
      <c r="G56" s="3">
        <v>8.1999110959368906</v>
      </c>
      <c r="H56" s="3">
        <v>2.40564874971008E-16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0457-F6E3-AF4A-9CB6-C5F2496A88FD}">
  <dimension ref="D4:G23"/>
  <sheetViews>
    <sheetView topLeftCell="A8" zoomScale="115" workbookViewId="0">
      <selection activeCell="D17" sqref="D17:G23"/>
    </sheetView>
  </sheetViews>
  <sheetFormatPr baseColWidth="10" defaultRowHeight="16" x14ac:dyDescent="0.2"/>
  <cols>
    <col min="4" max="4" width="24" customWidth="1"/>
    <col min="5" max="5" width="18.1640625" customWidth="1"/>
    <col min="6" max="6" width="11.33203125" customWidth="1"/>
    <col min="7" max="7" width="23.83203125" customWidth="1"/>
  </cols>
  <sheetData>
    <row r="4" spans="4:7" ht="17" x14ac:dyDescent="0.2">
      <c r="D4" s="1" t="s">
        <v>64</v>
      </c>
      <c r="E4" s="1" t="s">
        <v>69</v>
      </c>
      <c r="F4" s="1" t="s">
        <v>65</v>
      </c>
      <c r="G4" s="1" t="s">
        <v>70</v>
      </c>
    </row>
    <row r="5" spans="4:7" ht="17" x14ac:dyDescent="0.2">
      <c r="D5" s="1" t="s">
        <v>37</v>
      </c>
      <c r="E5" s="3">
        <v>0</v>
      </c>
      <c r="F5" s="3">
        <v>0.61</v>
      </c>
      <c r="G5" s="3">
        <f t="shared" ref="G5:G7" si="0">EXP(F5)</f>
        <v>1.8404313987816374</v>
      </c>
    </row>
    <row r="6" spans="4:7" ht="17" x14ac:dyDescent="0.2">
      <c r="D6" s="1" t="s">
        <v>42</v>
      </c>
      <c r="E6" s="3">
        <v>0</v>
      </c>
      <c r="F6" s="3">
        <v>0.02</v>
      </c>
      <c r="G6" s="3">
        <f t="shared" si="0"/>
        <v>1.0202013400267558</v>
      </c>
    </row>
    <row r="7" spans="4:7" ht="17" x14ac:dyDescent="0.2">
      <c r="D7" s="1" t="s">
        <v>61</v>
      </c>
      <c r="E7" s="3">
        <v>0</v>
      </c>
      <c r="F7" s="3">
        <v>0.05</v>
      </c>
      <c r="G7" s="3">
        <f t="shared" si="0"/>
        <v>1.0512710963760241</v>
      </c>
    </row>
    <row r="8" spans="4:7" x14ac:dyDescent="0.2">
      <c r="D8" s="1"/>
      <c r="E8" s="1"/>
      <c r="F8" s="1"/>
      <c r="G8" s="1"/>
    </row>
    <row r="9" spans="4:7" x14ac:dyDescent="0.2">
      <c r="D9" s="1"/>
      <c r="E9" s="1"/>
      <c r="F9" s="1"/>
      <c r="G9" s="1"/>
    </row>
    <row r="17" spans="4:7" ht="17" x14ac:dyDescent="0.2">
      <c r="D17" s="1" t="s">
        <v>64</v>
      </c>
      <c r="E17" s="1" t="s">
        <v>69</v>
      </c>
      <c r="F17" s="1" t="s">
        <v>65</v>
      </c>
      <c r="G17" s="1" t="s">
        <v>70</v>
      </c>
    </row>
    <row r="18" spans="4:7" ht="17" x14ac:dyDescent="0.2">
      <c r="D18" s="1" t="s">
        <v>36</v>
      </c>
      <c r="E18" s="3">
        <v>0</v>
      </c>
      <c r="F18" s="3">
        <v>-0.66</v>
      </c>
      <c r="G18" s="3">
        <f t="shared" ref="G18:G23" si="1">EXP(F18)</f>
        <v>0.51685133449169918</v>
      </c>
    </row>
    <row r="19" spans="4:7" ht="17" x14ac:dyDescent="0.2">
      <c r="D19" s="1" t="s">
        <v>39</v>
      </c>
      <c r="E19" s="3">
        <v>0</v>
      </c>
      <c r="F19" s="3">
        <v>-0.94</v>
      </c>
      <c r="G19" s="3">
        <f t="shared" si="1"/>
        <v>0.39062783535852114</v>
      </c>
    </row>
    <row r="20" spans="4:7" ht="17" x14ac:dyDescent="0.2">
      <c r="D20" s="1" t="s">
        <v>44</v>
      </c>
      <c r="E20" s="3">
        <v>0</v>
      </c>
      <c r="F20" s="3">
        <v>-0.13</v>
      </c>
      <c r="G20" s="3">
        <f t="shared" si="1"/>
        <v>0.8780954309205613</v>
      </c>
    </row>
    <row r="21" spans="4:7" ht="17" x14ac:dyDescent="0.2">
      <c r="D21" s="1" t="s">
        <v>46</v>
      </c>
      <c r="E21" s="3">
        <v>0</v>
      </c>
      <c r="F21" s="3">
        <v>-0.26</v>
      </c>
      <c r="G21" s="3">
        <f t="shared" si="1"/>
        <v>0.77105158580356625</v>
      </c>
    </row>
    <row r="22" spans="4:7" ht="17" x14ac:dyDescent="0.2">
      <c r="D22" s="1" t="s">
        <v>48</v>
      </c>
      <c r="E22" s="3">
        <v>0</v>
      </c>
      <c r="F22" s="3">
        <v>-0.18</v>
      </c>
      <c r="G22" s="3">
        <f t="shared" si="1"/>
        <v>0.835270211411272</v>
      </c>
    </row>
    <row r="23" spans="4:7" ht="17" x14ac:dyDescent="0.2">
      <c r="D23" s="1" t="s">
        <v>57</v>
      </c>
      <c r="E23" s="3">
        <v>0</v>
      </c>
      <c r="F23" s="3">
        <v>-0.13</v>
      </c>
      <c r="G23" s="3">
        <f t="shared" si="1"/>
        <v>0.8780954309205613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0183-91AD-3F46-9100-07F33BF046D9}">
  <dimension ref="D7:E11"/>
  <sheetViews>
    <sheetView workbookViewId="0">
      <selection activeCell="D7" sqref="D7:E11"/>
    </sheetView>
  </sheetViews>
  <sheetFormatPr baseColWidth="10" defaultRowHeight="16" x14ac:dyDescent="0.2"/>
  <cols>
    <col min="4" max="4" width="22.33203125" customWidth="1"/>
    <col min="5" max="5" width="29.5" customWidth="1"/>
  </cols>
  <sheetData>
    <row r="7" spans="4:5" x14ac:dyDescent="0.2">
      <c r="D7" t="s">
        <v>0</v>
      </c>
      <c r="E7" t="s">
        <v>75</v>
      </c>
    </row>
    <row r="8" spans="4:5" x14ac:dyDescent="0.2">
      <c r="D8" t="s">
        <v>76</v>
      </c>
      <c r="E8" t="s">
        <v>78</v>
      </c>
    </row>
    <row r="9" spans="4:5" x14ac:dyDescent="0.2">
      <c r="D9" t="s">
        <v>71</v>
      </c>
      <c r="E9" t="s">
        <v>79</v>
      </c>
    </row>
    <row r="10" spans="4:5" x14ac:dyDescent="0.2">
      <c r="D10" t="s">
        <v>72</v>
      </c>
      <c r="E10" t="s">
        <v>80</v>
      </c>
    </row>
    <row r="11" spans="4:5" x14ac:dyDescent="0.2">
      <c r="D11" t="s">
        <v>77</v>
      </c>
      <c r="E11" t="s">
        <v>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9212-AE31-5A48-BD0E-0FE78ADC6AFB}">
  <dimension ref="F5:AJ40"/>
  <sheetViews>
    <sheetView topLeftCell="L1" zoomScale="99" workbookViewId="0">
      <selection activeCell="O10" sqref="O10:P40"/>
    </sheetView>
  </sheetViews>
  <sheetFormatPr baseColWidth="10" defaultRowHeight="16" x14ac:dyDescent="0.2"/>
  <cols>
    <col min="10" max="10" width="20.5" customWidth="1"/>
    <col min="11" max="11" width="16" customWidth="1"/>
    <col min="15" max="15" width="22.6640625" customWidth="1"/>
    <col min="16" max="16" width="45.5" customWidth="1"/>
  </cols>
  <sheetData>
    <row r="5" spans="6:36" x14ac:dyDescent="0.2">
      <c r="F5" t="s">
        <v>82</v>
      </c>
      <c r="G5" t="s">
        <v>83</v>
      </c>
      <c r="H5" t="s">
        <v>84</v>
      </c>
      <c r="I5" t="s">
        <v>85</v>
      </c>
      <c r="J5" t="s">
        <v>5</v>
      </c>
      <c r="K5" t="s">
        <v>86</v>
      </c>
      <c r="L5" t="s">
        <v>2</v>
      </c>
      <c r="M5" t="s">
        <v>40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47</v>
      </c>
      <c r="U5" t="s">
        <v>48</v>
      </c>
      <c r="V5" t="s">
        <v>49</v>
      </c>
      <c r="W5" t="s">
        <v>50</v>
      </c>
      <c r="X5" t="s">
        <v>51</v>
      </c>
      <c r="Y5" t="s">
        <v>52</v>
      </c>
      <c r="Z5" t="s">
        <v>53</v>
      </c>
      <c r="AA5" t="s">
        <v>54</v>
      </c>
      <c r="AB5" t="s">
        <v>87</v>
      </c>
      <c r="AC5" t="s">
        <v>55</v>
      </c>
      <c r="AD5" t="s">
        <v>56</v>
      </c>
      <c r="AE5" t="s">
        <v>57</v>
      </c>
      <c r="AF5" t="s">
        <v>58</v>
      </c>
      <c r="AG5" t="s">
        <v>59</v>
      </c>
      <c r="AH5" t="s">
        <v>60</v>
      </c>
      <c r="AI5" t="s">
        <v>61</v>
      </c>
      <c r="AJ5" t="s">
        <v>62</v>
      </c>
    </row>
    <row r="6" spans="6:36" x14ac:dyDescent="0.2">
      <c r="F6" t="str" cm="1">
        <f t="array" ref="F6:F36">TRANSPOSE(F5:AJ5)</f>
        <v>Employee Source</v>
      </c>
    </row>
    <row r="7" spans="6:36" x14ac:dyDescent="0.2">
      <c r="F7" t="str">
        <v>OverTime</v>
      </c>
    </row>
    <row r="8" spans="6:36" x14ac:dyDescent="0.2">
      <c r="F8" t="str">
        <v>MaritalStatus</v>
      </c>
    </row>
    <row r="9" spans="6:36" x14ac:dyDescent="0.2">
      <c r="F9" t="str">
        <v>JobRole</v>
      </c>
    </row>
    <row r="10" spans="6:36" ht="17" x14ac:dyDescent="0.2">
      <c r="F10" t="str">
        <v>Gender</v>
      </c>
      <c r="J10" t="s">
        <v>88</v>
      </c>
      <c r="K10" t="s">
        <v>75</v>
      </c>
      <c r="O10" s="1" t="s">
        <v>88</v>
      </c>
      <c r="P10" s="1" t="s">
        <v>75</v>
      </c>
    </row>
    <row r="11" spans="6:36" ht="17" x14ac:dyDescent="0.2">
      <c r="F11" t="str">
        <v>BusinessTravel</v>
      </c>
      <c r="J11" t="s">
        <v>82</v>
      </c>
      <c r="K11" t="s">
        <v>89</v>
      </c>
      <c r="O11" s="1" t="s">
        <v>82</v>
      </c>
      <c r="P11" s="1" t="s">
        <v>89</v>
      </c>
    </row>
    <row r="12" spans="6:36" ht="17" x14ac:dyDescent="0.2">
      <c r="F12" t="str">
        <v>Attrition</v>
      </c>
      <c r="J12" t="s">
        <v>83</v>
      </c>
      <c r="K12" t="s">
        <v>90</v>
      </c>
      <c r="O12" s="1" t="s">
        <v>83</v>
      </c>
      <c r="P12" s="1" t="s">
        <v>90</v>
      </c>
    </row>
    <row r="13" spans="6:36" ht="17" x14ac:dyDescent="0.2">
      <c r="F13" t="str">
        <v>Age</v>
      </c>
      <c r="J13" t="s">
        <v>84</v>
      </c>
      <c r="K13" t="s">
        <v>91</v>
      </c>
      <c r="O13" s="1" t="s">
        <v>84</v>
      </c>
      <c r="P13" s="1" t="s">
        <v>91</v>
      </c>
    </row>
    <row r="14" spans="6:36" ht="17" x14ac:dyDescent="0.2">
      <c r="F14" t="str">
        <v>DailyRate</v>
      </c>
      <c r="J14" t="s">
        <v>85</v>
      </c>
      <c r="O14" s="1" t="s">
        <v>85</v>
      </c>
      <c r="P14" s="1" t="s">
        <v>92</v>
      </c>
    </row>
    <row r="15" spans="6:36" ht="17" x14ac:dyDescent="0.2">
      <c r="F15" t="str">
        <v>DistanceFromHome</v>
      </c>
      <c r="J15" t="s">
        <v>5</v>
      </c>
      <c r="O15" s="1" t="s">
        <v>5</v>
      </c>
      <c r="P15" s="1" t="s">
        <v>93</v>
      </c>
    </row>
    <row r="16" spans="6:36" ht="17" x14ac:dyDescent="0.2">
      <c r="F16" t="str">
        <v>Education</v>
      </c>
      <c r="J16" t="s">
        <v>86</v>
      </c>
      <c r="O16" s="1" t="s">
        <v>86</v>
      </c>
      <c r="P16" s="1" t="s">
        <v>94</v>
      </c>
    </row>
    <row r="17" spans="6:16" ht="17" x14ac:dyDescent="0.2">
      <c r="F17" t="str">
        <v>EnvironmentSatisfaction</v>
      </c>
      <c r="J17" t="s">
        <v>2</v>
      </c>
      <c r="O17" s="1" t="s">
        <v>2</v>
      </c>
      <c r="P17" s="1" t="s">
        <v>95</v>
      </c>
    </row>
    <row r="18" spans="6:16" ht="17" x14ac:dyDescent="0.2">
      <c r="F18" t="str">
        <v>HourlyRate</v>
      </c>
      <c r="J18" t="s">
        <v>40</v>
      </c>
      <c r="O18" s="1" t="s">
        <v>40</v>
      </c>
      <c r="P18" s="1" t="s">
        <v>96</v>
      </c>
    </row>
    <row r="19" spans="6:16" ht="17" x14ac:dyDescent="0.2">
      <c r="F19" t="str">
        <v>JobInvolvement</v>
      </c>
      <c r="J19" t="s">
        <v>41</v>
      </c>
      <c r="O19" s="1" t="s">
        <v>41</v>
      </c>
      <c r="P19" s="1" t="s">
        <v>97</v>
      </c>
    </row>
    <row r="20" spans="6:16" ht="17" x14ac:dyDescent="0.2">
      <c r="F20" t="str">
        <v>JobLevel</v>
      </c>
      <c r="J20" t="s">
        <v>42</v>
      </c>
      <c r="O20" s="1" t="s">
        <v>42</v>
      </c>
      <c r="P20" s="1" t="s">
        <v>98</v>
      </c>
    </row>
    <row r="21" spans="6:16" ht="34" x14ac:dyDescent="0.2">
      <c r="F21" t="str">
        <v>JobSatisfaction</v>
      </c>
      <c r="J21" t="s">
        <v>43</v>
      </c>
      <c r="O21" s="1" t="s">
        <v>43</v>
      </c>
      <c r="P21" s="1" t="s">
        <v>99</v>
      </c>
    </row>
    <row r="22" spans="6:16" ht="34" x14ac:dyDescent="0.2">
      <c r="F22" t="str">
        <v>MonthlyIncome</v>
      </c>
      <c r="J22" t="s">
        <v>44</v>
      </c>
      <c r="O22" s="1" t="s">
        <v>44</v>
      </c>
      <c r="P22" s="1" t="s">
        <v>100</v>
      </c>
    </row>
    <row r="23" spans="6:16" ht="17" x14ac:dyDescent="0.2">
      <c r="F23" t="str">
        <v>MonthlyRate</v>
      </c>
      <c r="J23" t="s">
        <v>45</v>
      </c>
      <c r="O23" s="1" t="s">
        <v>45</v>
      </c>
      <c r="P23" s="1" t="s">
        <v>101</v>
      </c>
    </row>
    <row r="24" spans="6:16" ht="17" x14ac:dyDescent="0.2">
      <c r="F24" t="str">
        <v>NumCompaniesWorked</v>
      </c>
      <c r="J24" t="s">
        <v>46</v>
      </c>
      <c r="O24" s="1" t="s">
        <v>46</v>
      </c>
      <c r="P24" s="1" t="s">
        <v>102</v>
      </c>
    </row>
    <row r="25" spans="6:16" ht="17" x14ac:dyDescent="0.2">
      <c r="F25" t="str">
        <v>PercentSalaryHike</v>
      </c>
      <c r="J25" t="s">
        <v>47</v>
      </c>
      <c r="O25" s="1" t="s">
        <v>47</v>
      </c>
      <c r="P25" s="1" t="s">
        <v>103</v>
      </c>
    </row>
    <row r="26" spans="6:16" ht="17" x14ac:dyDescent="0.2">
      <c r="F26" t="str">
        <v>PerformanceRating</v>
      </c>
      <c r="J26" t="s">
        <v>48</v>
      </c>
      <c r="O26" s="1" t="s">
        <v>48</v>
      </c>
      <c r="P26" s="1" t="s">
        <v>104</v>
      </c>
    </row>
    <row r="27" spans="6:16" ht="17" x14ac:dyDescent="0.2">
      <c r="F27" t="str">
        <v>RelationshipSatisfaction</v>
      </c>
      <c r="J27" t="s">
        <v>49</v>
      </c>
      <c r="O27" s="1" t="s">
        <v>49</v>
      </c>
      <c r="P27" s="1" t="s">
        <v>105</v>
      </c>
    </row>
    <row r="28" spans="6:16" ht="17" x14ac:dyDescent="0.2">
      <c r="F28" t="str">
        <v>StandardHours</v>
      </c>
      <c r="J28" t="s">
        <v>50</v>
      </c>
      <c r="O28" s="1" t="s">
        <v>50</v>
      </c>
      <c r="P28" s="1" t="s">
        <v>106</v>
      </c>
    </row>
    <row r="29" spans="6:16" ht="17" x14ac:dyDescent="0.2">
      <c r="F29" t="str">
        <v>StockOptionLevel</v>
      </c>
      <c r="J29" t="s">
        <v>51</v>
      </c>
      <c r="O29" s="1" t="s">
        <v>51</v>
      </c>
      <c r="P29" s="1" t="s">
        <v>107</v>
      </c>
    </row>
    <row r="30" spans="6:16" ht="17" x14ac:dyDescent="0.2">
      <c r="F30" t="str">
        <v>TotalWorkingYears</v>
      </c>
      <c r="J30" t="s">
        <v>52</v>
      </c>
      <c r="O30" s="1" t="s">
        <v>52</v>
      </c>
      <c r="P30" s="1" t="s">
        <v>108</v>
      </c>
    </row>
    <row r="31" spans="6:16" ht="17" x14ac:dyDescent="0.2">
      <c r="F31" t="str">
        <v>TrainingTimesLastYear</v>
      </c>
      <c r="J31" t="s">
        <v>53</v>
      </c>
      <c r="O31" s="1" t="s">
        <v>53</v>
      </c>
      <c r="P31" s="1" t="s">
        <v>109</v>
      </c>
    </row>
    <row r="32" spans="6:16" ht="34" x14ac:dyDescent="0.2">
      <c r="F32" t="str">
        <v>WorkLifeBalance</v>
      </c>
      <c r="J32" t="s">
        <v>54</v>
      </c>
      <c r="O32" s="1" t="s">
        <v>54</v>
      </c>
      <c r="P32" s="1" t="s">
        <v>118</v>
      </c>
    </row>
    <row r="33" spans="6:16" ht="17" x14ac:dyDescent="0.2">
      <c r="F33" t="str">
        <v>YearsAtCompany</v>
      </c>
      <c r="J33" t="s">
        <v>55</v>
      </c>
      <c r="O33" s="1" t="s">
        <v>55</v>
      </c>
      <c r="P33" s="1" t="s">
        <v>110</v>
      </c>
    </row>
    <row r="34" spans="6:16" ht="17" x14ac:dyDescent="0.2">
      <c r="F34" t="str">
        <v>YearsInCurrentRole</v>
      </c>
      <c r="J34" t="s">
        <v>56</v>
      </c>
      <c r="O34" s="1" t="s">
        <v>56</v>
      </c>
      <c r="P34" s="1" t="s">
        <v>111</v>
      </c>
    </row>
    <row r="35" spans="6:16" ht="17" x14ac:dyDescent="0.2">
      <c r="F35" t="str">
        <v>YearsSinceLastPromotion</v>
      </c>
      <c r="J35" t="s">
        <v>57</v>
      </c>
      <c r="O35" s="1" t="s">
        <v>57</v>
      </c>
      <c r="P35" s="1" t="s">
        <v>112</v>
      </c>
    </row>
    <row r="36" spans="6:16" ht="17" x14ac:dyDescent="0.2">
      <c r="F36" t="str">
        <v>YearsWithCurrManager</v>
      </c>
      <c r="J36" t="s">
        <v>58</v>
      </c>
      <c r="O36" s="1" t="s">
        <v>58</v>
      </c>
      <c r="P36" s="1" t="s">
        <v>117</v>
      </c>
    </row>
    <row r="37" spans="6:16" ht="17" x14ac:dyDescent="0.2">
      <c r="J37" t="s">
        <v>59</v>
      </c>
      <c r="O37" s="1" t="s">
        <v>59</v>
      </c>
      <c r="P37" s="1" t="s">
        <v>113</v>
      </c>
    </row>
    <row r="38" spans="6:16" ht="17" x14ac:dyDescent="0.2">
      <c r="J38" t="s">
        <v>60</v>
      </c>
      <c r="O38" s="1" t="s">
        <v>60</v>
      </c>
      <c r="P38" s="1" t="s">
        <v>114</v>
      </c>
    </row>
    <row r="39" spans="6:16" ht="17" x14ac:dyDescent="0.2">
      <c r="J39" t="s">
        <v>61</v>
      </c>
      <c r="O39" s="1" t="s">
        <v>61</v>
      </c>
      <c r="P39" s="1" t="s">
        <v>115</v>
      </c>
    </row>
    <row r="40" spans="6:16" ht="17" x14ac:dyDescent="0.2">
      <c r="J40" t="s">
        <v>62</v>
      </c>
      <c r="O40" s="1" t="s">
        <v>62</v>
      </c>
      <c r="P40" s="1" t="s">
        <v>116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5F5F-5AD8-C04E-8842-11910454ADE5}">
  <dimension ref="E8:F14"/>
  <sheetViews>
    <sheetView topLeftCell="A8" zoomScale="144" workbookViewId="0">
      <selection activeCell="E8" sqref="E8:F14"/>
    </sheetView>
  </sheetViews>
  <sheetFormatPr baseColWidth="10" defaultRowHeight="16" x14ac:dyDescent="0.2"/>
  <cols>
    <col min="5" max="5" width="26.5" customWidth="1"/>
    <col min="6" max="6" width="53" customWidth="1"/>
  </cols>
  <sheetData>
    <row r="8" spans="5:6" ht="17" x14ac:dyDescent="0.2">
      <c r="E8" s="2" t="s">
        <v>0</v>
      </c>
      <c r="F8" s="2" t="s">
        <v>1</v>
      </c>
    </row>
    <row r="9" spans="5:6" ht="17" x14ac:dyDescent="0.2">
      <c r="E9" s="1" t="s">
        <v>5</v>
      </c>
      <c r="F9" s="1" t="s">
        <v>119</v>
      </c>
    </row>
    <row r="10" spans="5:6" ht="34" x14ac:dyDescent="0.2">
      <c r="E10" s="1" t="s">
        <v>120</v>
      </c>
      <c r="F10" s="1" t="s">
        <v>121</v>
      </c>
    </row>
    <row r="11" spans="5:6" ht="17" x14ac:dyDescent="0.2">
      <c r="E11" s="1" t="s">
        <v>122</v>
      </c>
      <c r="F11" s="1" t="s">
        <v>123</v>
      </c>
    </row>
    <row r="12" spans="5:6" ht="17" x14ac:dyDescent="0.2">
      <c r="E12" s="1" t="s">
        <v>124</v>
      </c>
      <c r="F12" s="1" t="s">
        <v>7</v>
      </c>
    </row>
    <row r="13" spans="5:6" ht="17" x14ac:dyDescent="0.2">
      <c r="E13" s="1" t="s">
        <v>125</v>
      </c>
      <c r="F13" s="1" t="s">
        <v>7</v>
      </c>
    </row>
    <row r="14" spans="5:6" ht="17" x14ac:dyDescent="0.2">
      <c r="E14" s="1" t="s">
        <v>126</v>
      </c>
      <c r="F14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2614-E794-1B4A-B603-A7849A3C8B2C}">
  <dimension ref="B3:O39"/>
  <sheetViews>
    <sheetView tabSelected="1" topLeftCell="D17" workbookViewId="0">
      <selection activeCell="L34" sqref="L34"/>
    </sheetView>
  </sheetViews>
  <sheetFormatPr baseColWidth="10" defaultRowHeight="16" x14ac:dyDescent="0.2"/>
  <cols>
    <col min="6" max="6" width="26.5" customWidth="1"/>
    <col min="7" max="7" width="47.1640625" customWidth="1"/>
  </cols>
  <sheetData>
    <row r="3" spans="2:15" x14ac:dyDescent="0.2">
      <c r="B3" t="s">
        <v>126</v>
      </c>
      <c r="C3" t="s">
        <v>125</v>
      </c>
      <c r="D3" t="s">
        <v>124</v>
      </c>
      <c r="E3" t="s">
        <v>122</v>
      </c>
      <c r="F3" t="s">
        <v>120</v>
      </c>
      <c r="G3" t="s">
        <v>127</v>
      </c>
      <c r="H3" t="s">
        <v>128</v>
      </c>
      <c r="I3" t="s">
        <v>129</v>
      </c>
      <c r="J3" t="s">
        <v>130</v>
      </c>
      <c r="K3" t="s">
        <v>131</v>
      </c>
      <c r="L3" t="s">
        <v>132</v>
      </c>
      <c r="M3" t="s">
        <v>133</v>
      </c>
      <c r="N3" t="s">
        <v>134</v>
      </c>
      <c r="O3" t="s">
        <v>135</v>
      </c>
    </row>
    <row r="7" spans="2:15" x14ac:dyDescent="0.2">
      <c r="F7" t="s">
        <v>0</v>
      </c>
      <c r="G7" t="s">
        <v>75</v>
      </c>
      <c r="K7" t="str" cm="1">
        <f t="array" ref="K7:K20">TRANSPOSE(B3:O3)</f>
        <v>mental_health_risk</v>
      </c>
    </row>
    <row r="8" spans="2:15" x14ac:dyDescent="0.2">
      <c r="F8" t="s">
        <v>126</v>
      </c>
      <c r="G8" t="s">
        <v>136</v>
      </c>
      <c r="K8" t="str">
        <v>seeks_treatment</v>
      </c>
    </row>
    <row r="9" spans="2:15" x14ac:dyDescent="0.2">
      <c r="F9" t="s">
        <v>125</v>
      </c>
      <c r="G9" t="s">
        <v>137</v>
      </c>
      <c r="K9" t="str">
        <v>mental_health_history</v>
      </c>
    </row>
    <row r="10" spans="2:15" x14ac:dyDescent="0.2">
      <c r="F10" t="s">
        <v>124</v>
      </c>
      <c r="G10" t="s">
        <v>80</v>
      </c>
      <c r="K10" t="str">
        <v>work_environment</v>
      </c>
    </row>
    <row r="11" spans="2:15" x14ac:dyDescent="0.2">
      <c r="F11" t="s">
        <v>122</v>
      </c>
      <c r="G11" t="s">
        <v>81</v>
      </c>
      <c r="K11" t="str">
        <v>employment_status</v>
      </c>
    </row>
    <row r="12" spans="2:15" x14ac:dyDescent="0.2">
      <c r="F12" t="s">
        <v>120</v>
      </c>
      <c r="K12" t="str">
        <v>gender</v>
      </c>
    </row>
    <row r="13" spans="2:15" x14ac:dyDescent="0.2">
      <c r="F13" t="s">
        <v>127</v>
      </c>
      <c r="G13" t="s">
        <v>93</v>
      </c>
      <c r="K13" t="str">
        <v>age</v>
      </c>
    </row>
    <row r="14" spans="2:15" x14ac:dyDescent="0.2">
      <c r="F14" t="s">
        <v>128</v>
      </c>
      <c r="K14" t="str">
        <v>stress_level</v>
      </c>
    </row>
    <row r="15" spans="2:15" x14ac:dyDescent="0.2">
      <c r="F15" t="s">
        <v>129</v>
      </c>
      <c r="K15" t="str">
        <v>sleep_hours</v>
      </c>
    </row>
    <row r="16" spans="2:15" x14ac:dyDescent="0.2">
      <c r="F16" t="s">
        <v>130</v>
      </c>
      <c r="K16" t="str">
        <v>physical_activity_days</v>
      </c>
    </row>
    <row r="17" spans="6:11" x14ac:dyDescent="0.2">
      <c r="F17" t="s">
        <v>131</v>
      </c>
      <c r="K17" t="str">
        <v>depression_score</v>
      </c>
    </row>
    <row r="18" spans="6:11" x14ac:dyDescent="0.2">
      <c r="F18" t="s">
        <v>132</v>
      </c>
      <c r="K18" t="str">
        <v>anxiety_score</v>
      </c>
    </row>
    <row r="19" spans="6:11" x14ac:dyDescent="0.2">
      <c r="F19" t="s">
        <v>133</v>
      </c>
      <c r="K19" t="str">
        <v>social_support_score</v>
      </c>
    </row>
    <row r="20" spans="6:11" x14ac:dyDescent="0.2">
      <c r="F20" t="s">
        <v>134</v>
      </c>
      <c r="K20" t="str">
        <v>productivity_score</v>
      </c>
    </row>
    <row r="21" spans="6:11" x14ac:dyDescent="0.2">
      <c r="F21" t="s">
        <v>135</v>
      </c>
    </row>
    <row r="25" spans="6:11" x14ac:dyDescent="0.2">
      <c r="F25" t="s">
        <v>0</v>
      </c>
      <c r="G25" t="s">
        <v>75</v>
      </c>
    </row>
    <row r="26" spans="6:11" x14ac:dyDescent="0.2">
      <c r="F26" t="s">
        <v>128</v>
      </c>
      <c r="G26" t="s">
        <v>138</v>
      </c>
    </row>
    <row r="27" spans="6:11" x14ac:dyDescent="0.2">
      <c r="F27" t="s">
        <v>127</v>
      </c>
      <c r="G27" t="s">
        <v>139</v>
      </c>
    </row>
    <row r="28" spans="6:11" x14ac:dyDescent="0.2">
      <c r="F28" t="s">
        <v>120</v>
      </c>
      <c r="G28" t="s">
        <v>140</v>
      </c>
    </row>
    <row r="29" spans="6:11" x14ac:dyDescent="0.2">
      <c r="F29" t="s">
        <v>122</v>
      </c>
      <c r="G29" t="s">
        <v>141</v>
      </c>
    </row>
    <row r="30" spans="6:11" x14ac:dyDescent="0.2">
      <c r="F30" t="s">
        <v>124</v>
      </c>
      <c r="G30" t="s">
        <v>142</v>
      </c>
    </row>
    <row r="31" spans="6:11" x14ac:dyDescent="0.2">
      <c r="F31" t="s">
        <v>125</v>
      </c>
      <c r="G31" t="s">
        <v>143</v>
      </c>
    </row>
    <row r="32" spans="6:11" x14ac:dyDescent="0.2">
      <c r="F32" t="s">
        <v>129</v>
      </c>
      <c r="G32" t="s">
        <v>144</v>
      </c>
    </row>
    <row r="33" spans="6:7" x14ac:dyDescent="0.2">
      <c r="F33" t="s">
        <v>130</v>
      </c>
      <c r="G33" t="s">
        <v>145</v>
      </c>
    </row>
    <row r="34" spans="6:7" x14ac:dyDescent="0.2">
      <c r="F34" t="s">
        <v>131</v>
      </c>
      <c r="G34" t="s">
        <v>146</v>
      </c>
    </row>
    <row r="35" spans="6:7" x14ac:dyDescent="0.2">
      <c r="F35" t="s">
        <v>132</v>
      </c>
      <c r="G35" t="s">
        <v>147</v>
      </c>
    </row>
    <row r="36" spans="6:7" x14ac:dyDescent="0.2">
      <c r="F36" t="s">
        <v>133</v>
      </c>
      <c r="G36" t="s">
        <v>148</v>
      </c>
    </row>
    <row r="37" spans="6:7" x14ac:dyDescent="0.2">
      <c r="F37" t="s">
        <v>134</v>
      </c>
      <c r="G37" t="s">
        <v>149</v>
      </c>
    </row>
    <row r="38" spans="6:7" x14ac:dyDescent="0.2">
      <c r="F38" t="s">
        <v>135</v>
      </c>
      <c r="G38" t="s">
        <v>150</v>
      </c>
    </row>
    <row r="39" spans="6:7" x14ac:dyDescent="0.2">
      <c r="F39" t="s">
        <v>126</v>
      </c>
      <c r="G39" t="s">
        <v>151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GIELO</dc:creator>
  <cp:lastModifiedBy>GIELO</cp:lastModifiedBy>
  <dcterms:created xsi:type="dcterms:W3CDTF">2025-06-09T20:53:32Z</dcterms:created>
  <dcterms:modified xsi:type="dcterms:W3CDTF">2025-06-19T17:54:47Z</dcterms:modified>
</cp:coreProperties>
</file>