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ieloJosephFernandez\Downloads\"/>
    </mc:Choice>
  </mc:AlternateContent>
  <xr:revisionPtr revIDLastSave="0" documentId="13_ncr:1_{71CF24FB-1FAA-4A81-9027-1F76E3CD901C}" xr6:coauthVersionLast="47" xr6:coauthVersionMax="47" xr10:uidLastSave="{00000000-0000-0000-0000-000000000000}"/>
  <bookViews>
    <workbookView xWindow="-120" yWindow="-120" windowWidth="29040" windowHeight="15840" activeTab="3" xr2:uid="{9F9BD6D1-68D5-4144-8FA0-37241F6F6578}"/>
  </bookViews>
  <sheets>
    <sheet name="Sheet4" sheetId="6" r:id="rId1"/>
    <sheet name="Sheet5" sheetId="7" r:id="rId2"/>
    <sheet name="Sheet6" sheetId="8" r:id="rId3"/>
    <sheet name="Festival Expenditure" sheetId="1" r:id="rId4"/>
    <sheet name="Festival Expenditure Answer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L15" i="2"/>
  <c r="I17" i="2"/>
  <c r="I16" i="2"/>
  <c r="I15" i="2"/>
  <c r="F16" i="2"/>
  <c r="F15" i="2"/>
  <c r="I12" i="2"/>
  <c r="L11" i="2"/>
  <c r="L10" i="2"/>
  <c r="I11" i="2"/>
  <c r="I10" i="2"/>
  <c r="F11" i="2"/>
  <c r="F10" i="2"/>
  <c r="I7" i="2"/>
  <c r="L6" i="2"/>
  <c r="L5" i="2"/>
  <c r="I6" i="2"/>
  <c r="I5" i="2"/>
  <c r="F6" i="2"/>
  <c r="F5" i="2"/>
</calcChain>
</file>

<file path=xl/sharedStrings.xml><?xml version="1.0" encoding="utf-8"?>
<sst xmlns="http://schemas.openxmlformats.org/spreadsheetml/2006/main" count="106" uniqueCount="24">
  <si>
    <t>Interstate  Visitors</t>
  </si>
  <si>
    <t>Intrastate  Visitors</t>
  </si>
  <si>
    <t>International Visitors</t>
  </si>
  <si>
    <t>Amount Spent $</t>
  </si>
  <si>
    <t xml:space="preserve">1. Complete the following calculations </t>
  </si>
  <si>
    <t>Interstate Vistors</t>
  </si>
  <si>
    <t>Mean</t>
  </si>
  <si>
    <t>Minimum</t>
  </si>
  <si>
    <t>SD</t>
  </si>
  <si>
    <t>Median</t>
  </si>
  <si>
    <t>Maximum</t>
  </si>
  <si>
    <t>Var</t>
  </si>
  <si>
    <t>Range</t>
  </si>
  <si>
    <t>Intrastate Vistors</t>
  </si>
  <si>
    <t>International Vistors</t>
  </si>
  <si>
    <t xml:space="preserve">2. Create Column Graphs for each of the data sets and lable appriopriately </t>
  </si>
  <si>
    <t>Standard Error</t>
  </si>
  <si>
    <t>Mode</t>
  </si>
  <si>
    <t>Standard Deviation</t>
  </si>
  <si>
    <t>Sample Variance</t>
  </si>
  <si>
    <t>Kurtosis</t>
  </si>
  <si>
    <t>Skewness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</si>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</sst>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3" fillId="0" borderId="5" xfId="0" applyFont="1" applyFill="1" applyBorder="1" applyAlignment="1">
      <alignment horizontal="centerContinuous"/>
    </xf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'Festival Expenditure'!$A$1:$A$2</c:f>
              <c:strCache>
                <c:ptCount val="2"/>
                <c:pt idx="0">
                  <c:v>Interstate  Visitors</c:v>
                </c:pt>
                <c:pt idx="1">
                  <c:v>Amount Spent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'Festival Expenditure'!$A$3:$A$54</c:f>
              <c:numCache>
                <c:formatCode>0</c:formatCode>
                <c:ptCount val="52"/>
                <c:pt idx="0">
                  <c:v>1039</c:v>
                </c:pt>
                <c:pt idx="1">
                  <c:v>508</c:v>
                </c:pt>
                <c:pt idx="2">
                  <c:v>907</c:v>
                </c:pt>
                <c:pt idx="3">
                  <c:v>446</c:v>
                </c:pt>
                <c:pt idx="4">
                  <c:v>350</c:v>
                </c:pt>
                <c:pt idx="5">
                  <c:v>398</c:v>
                </c:pt>
                <c:pt idx="6">
                  <c:v>776</c:v>
                </c:pt>
                <c:pt idx="7">
                  <c:v>772</c:v>
                </c:pt>
                <c:pt idx="8">
                  <c:v>867</c:v>
                </c:pt>
                <c:pt idx="9">
                  <c:v>476</c:v>
                </c:pt>
                <c:pt idx="10">
                  <c:v>758</c:v>
                </c:pt>
                <c:pt idx="11">
                  <c:v>597</c:v>
                </c:pt>
                <c:pt idx="12">
                  <c:v>468</c:v>
                </c:pt>
                <c:pt idx="13">
                  <c:v>321</c:v>
                </c:pt>
                <c:pt idx="14">
                  <c:v>546</c:v>
                </c:pt>
                <c:pt idx="15">
                  <c:v>733</c:v>
                </c:pt>
                <c:pt idx="16">
                  <c:v>785</c:v>
                </c:pt>
                <c:pt idx="17">
                  <c:v>662</c:v>
                </c:pt>
                <c:pt idx="18">
                  <c:v>427</c:v>
                </c:pt>
                <c:pt idx="19">
                  <c:v>222</c:v>
                </c:pt>
                <c:pt idx="20">
                  <c:v>394</c:v>
                </c:pt>
                <c:pt idx="21">
                  <c:v>914</c:v>
                </c:pt>
                <c:pt idx="22">
                  <c:v>631</c:v>
                </c:pt>
                <c:pt idx="23">
                  <c:v>684</c:v>
                </c:pt>
                <c:pt idx="24">
                  <c:v>685</c:v>
                </c:pt>
                <c:pt idx="25">
                  <c:v>546</c:v>
                </c:pt>
                <c:pt idx="26">
                  <c:v>602</c:v>
                </c:pt>
                <c:pt idx="27">
                  <c:v>492</c:v>
                </c:pt>
                <c:pt idx="28">
                  <c:v>388</c:v>
                </c:pt>
                <c:pt idx="29">
                  <c:v>765</c:v>
                </c:pt>
                <c:pt idx="30">
                  <c:v>586</c:v>
                </c:pt>
                <c:pt idx="31">
                  <c:v>629</c:v>
                </c:pt>
                <c:pt idx="32">
                  <c:v>945</c:v>
                </c:pt>
                <c:pt idx="33">
                  <c:v>631</c:v>
                </c:pt>
                <c:pt idx="34">
                  <c:v>460</c:v>
                </c:pt>
                <c:pt idx="35">
                  <c:v>556</c:v>
                </c:pt>
                <c:pt idx="36">
                  <c:v>644</c:v>
                </c:pt>
                <c:pt idx="37">
                  <c:v>795</c:v>
                </c:pt>
                <c:pt idx="38">
                  <c:v>265</c:v>
                </c:pt>
                <c:pt idx="39">
                  <c:v>416</c:v>
                </c:pt>
                <c:pt idx="40">
                  <c:v>516</c:v>
                </c:pt>
                <c:pt idx="41">
                  <c:v>662</c:v>
                </c:pt>
                <c:pt idx="42">
                  <c:v>754</c:v>
                </c:pt>
                <c:pt idx="43">
                  <c:v>863</c:v>
                </c:pt>
                <c:pt idx="44">
                  <c:v>276</c:v>
                </c:pt>
                <c:pt idx="45">
                  <c:v>582</c:v>
                </c:pt>
                <c:pt idx="46">
                  <c:v>446</c:v>
                </c:pt>
                <c:pt idx="47">
                  <c:v>605</c:v>
                </c:pt>
                <c:pt idx="48">
                  <c:v>330</c:v>
                </c:pt>
                <c:pt idx="49">
                  <c:v>429</c:v>
                </c:pt>
                <c:pt idx="50">
                  <c:v>390</c:v>
                </c:pt>
                <c:pt idx="51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C-4060-8693-902DBEEC4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0133999"/>
        <c:axId val="1360136399"/>
        <c:axId val="0"/>
      </c:bar3DChart>
      <c:catAx>
        <c:axId val="136013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36399"/>
        <c:crosses val="autoZero"/>
        <c:auto val="1"/>
        <c:lblAlgn val="ctr"/>
        <c:lblOffset val="100"/>
        <c:noMultiLvlLbl val="0"/>
      </c:catAx>
      <c:valAx>
        <c:axId val="136013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3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'Festival Expenditure'!$B$1:$B$2</c:f>
              <c:strCache>
                <c:ptCount val="2"/>
                <c:pt idx="0">
                  <c:v>Intrastate  Visitors</c:v>
                </c:pt>
                <c:pt idx="1">
                  <c:v>Amount Spent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'Festival Expenditure'!$B$3:$B$54</c:f>
              <c:numCache>
                <c:formatCode>0</c:formatCode>
                <c:ptCount val="52"/>
                <c:pt idx="0">
                  <c:v>692</c:v>
                </c:pt>
                <c:pt idx="1">
                  <c:v>676</c:v>
                </c:pt>
                <c:pt idx="2">
                  <c:v>563</c:v>
                </c:pt>
                <c:pt idx="3">
                  <c:v>444</c:v>
                </c:pt>
                <c:pt idx="4">
                  <c:v>357</c:v>
                </c:pt>
                <c:pt idx="5">
                  <c:v>513</c:v>
                </c:pt>
                <c:pt idx="6">
                  <c:v>987</c:v>
                </c:pt>
                <c:pt idx="7">
                  <c:v>718</c:v>
                </c:pt>
                <c:pt idx="8">
                  <c:v>505</c:v>
                </c:pt>
                <c:pt idx="9">
                  <c:v>487</c:v>
                </c:pt>
                <c:pt idx="10">
                  <c:v>454</c:v>
                </c:pt>
                <c:pt idx="11">
                  <c:v>547</c:v>
                </c:pt>
                <c:pt idx="12">
                  <c:v>562</c:v>
                </c:pt>
                <c:pt idx="13">
                  <c:v>586</c:v>
                </c:pt>
                <c:pt idx="14">
                  <c:v>694</c:v>
                </c:pt>
                <c:pt idx="15">
                  <c:v>402</c:v>
                </c:pt>
                <c:pt idx="16">
                  <c:v>569</c:v>
                </c:pt>
                <c:pt idx="17">
                  <c:v>275</c:v>
                </c:pt>
                <c:pt idx="18">
                  <c:v>181</c:v>
                </c:pt>
                <c:pt idx="19">
                  <c:v>201</c:v>
                </c:pt>
                <c:pt idx="20">
                  <c:v>231</c:v>
                </c:pt>
                <c:pt idx="21">
                  <c:v>399</c:v>
                </c:pt>
                <c:pt idx="22">
                  <c:v>310</c:v>
                </c:pt>
                <c:pt idx="23">
                  <c:v>489</c:v>
                </c:pt>
                <c:pt idx="24">
                  <c:v>229</c:v>
                </c:pt>
                <c:pt idx="25">
                  <c:v>341</c:v>
                </c:pt>
                <c:pt idx="26">
                  <c:v>267</c:v>
                </c:pt>
                <c:pt idx="27">
                  <c:v>308</c:v>
                </c:pt>
                <c:pt idx="28">
                  <c:v>266</c:v>
                </c:pt>
                <c:pt idx="29">
                  <c:v>240</c:v>
                </c:pt>
                <c:pt idx="30">
                  <c:v>289</c:v>
                </c:pt>
                <c:pt idx="31">
                  <c:v>343</c:v>
                </c:pt>
                <c:pt idx="32">
                  <c:v>370</c:v>
                </c:pt>
                <c:pt idx="33">
                  <c:v>329</c:v>
                </c:pt>
                <c:pt idx="34">
                  <c:v>320</c:v>
                </c:pt>
                <c:pt idx="35">
                  <c:v>298</c:v>
                </c:pt>
                <c:pt idx="36">
                  <c:v>357</c:v>
                </c:pt>
                <c:pt idx="37">
                  <c:v>325</c:v>
                </c:pt>
                <c:pt idx="38">
                  <c:v>317</c:v>
                </c:pt>
                <c:pt idx="39">
                  <c:v>333</c:v>
                </c:pt>
                <c:pt idx="40">
                  <c:v>320</c:v>
                </c:pt>
                <c:pt idx="41">
                  <c:v>576</c:v>
                </c:pt>
                <c:pt idx="42">
                  <c:v>890</c:v>
                </c:pt>
                <c:pt idx="43">
                  <c:v>952</c:v>
                </c:pt>
                <c:pt idx="44">
                  <c:v>647</c:v>
                </c:pt>
                <c:pt idx="45">
                  <c:v>718</c:v>
                </c:pt>
                <c:pt idx="46">
                  <c:v>890</c:v>
                </c:pt>
                <c:pt idx="47">
                  <c:v>970</c:v>
                </c:pt>
                <c:pt idx="48">
                  <c:v>1032</c:v>
                </c:pt>
                <c:pt idx="49">
                  <c:v>927</c:v>
                </c:pt>
                <c:pt idx="50">
                  <c:v>1057</c:v>
                </c:pt>
                <c:pt idx="51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5-4656-AA9C-A6E6DF7F8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0124879"/>
        <c:axId val="1360128239"/>
        <c:axId val="0"/>
      </c:bar3DChart>
      <c:catAx>
        <c:axId val="136012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28239"/>
        <c:crosses val="autoZero"/>
        <c:auto val="1"/>
        <c:lblAlgn val="ctr"/>
        <c:lblOffset val="100"/>
        <c:noMultiLvlLbl val="0"/>
      </c:catAx>
      <c:valAx>
        <c:axId val="13601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Amount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2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'Festival Expenditure'!$C$1:$C$2</c:f>
              <c:strCache>
                <c:ptCount val="2"/>
                <c:pt idx="0">
                  <c:v>International Visitors</c:v>
                </c:pt>
                <c:pt idx="1">
                  <c:v>Amount Spent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'Festival Expenditure'!$C$3:$C$14</c:f>
              <c:numCache>
                <c:formatCode>0</c:formatCode>
                <c:ptCount val="12"/>
                <c:pt idx="0">
                  <c:v>1119</c:v>
                </c:pt>
                <c:pt idx="1">
                  <c:v>615</c:v>
                </c:pt>
                <c:pt idx="2">
                  <c:v>971</c:v>
                </c:pt>
                <c:pt idx="3">
                  <c:v>553</c:v>
                </c:pt>
                <c:pt idx="4">
                  <c:v>343</c:v>
                </c:pt>
                <c:pt idx="5">
                  <c:v>502</c:v>
                </c:pt>
                <c:pt idx="6">
                  <c:v>928</c:v>
                </c:pt>
                <c:pt idx="7">
                  <c:v>1005</c:v>
                </c:pt>
                <c:pt idx="8">
                  <c:v>993</c:v>
                </c:pt>
                <c:pt idx="9">
                  <c:v>408</c:v>
                </c:pt>
                <c:pt idx="10">
                  <c:v>725</c:v>
                </c:pt>
                <c:pt idx="11">
                  <c:v>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4-462F-B6A9-4CF9C8D03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1292927"/>
        <c:axId val="1361289567"/>
        <c:axId val="0"/>
      </c:bar3DChart>
      <c:catAx>
        <c:axId val="136129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89567"/>
        <c:crosses val="autoZero"/>
        <c:auto val="1"/>
        <c:lblAlgn val="ctr"/>
        <c:lblOffset val="100"/>
        <c:noMultiLvlLbl val="0"/>
      </c:catAx>
      <c:valAx>
        <c:axId val="13612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Amount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9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'Festival Expenditure Answers'!$A$1:$A$2</c:f>
              <c:strCache>
                <c:ptCount val="2"/>
                <c:pt idx="0">
                  <c:v>Interstate  Visitors</c:v>
                </c:pt>
                <c:pt idx="1">
                  <c:v>Amount Spent $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'Festival Expenditure Answers'!$A$3:$A$54</c:f>
              <c:numCache>
                <c:formatCode>General</c:formatCode>
                <c:ptCount val="52"/>
                <c:pt idx="0">
                  <c:v>1039</c:v>
                </c:pt>
                <c:pt idx="1">
                  <c:v>508</c:v>
                </c:pt>
                <c:pt idx="2">
                  <c:v>907</c:v>
                </c:pt>
                <c:pt idx="3">
                  <c:v>446</c:v>
                </c:pt>
                <c:pt idx="4">
                  <c:v>350</c:v>
                </c:pt>
                <c:pt idx="5">
                  <c:v>398</c:v>
                </c:pt>
                <c:pt idx="6">
                  <c:v>776</c:v>
                </c:pt>
                <c:pt idx="7">
                  <c:v>772</c:v>
                </c:pt>
                <c:pt idx="8">
                  <c:v>867</c:v>
                </c:pt>
                <c:pt idx="9">
                  <c:v>476</c:v>
                </c:pt>
                <c:pt idx="10">
                  <c:v>758</c:v>
                </c:pt>
                <c:pt idx="11">
                  <c:v>597</c:v>
                </c:pt>
                <c:pt idx="12">
                  <c:v>468</c:v>
                </c:pt>
                <c:pt idx="13">
                  <c:v>321</c:v>
                </c:pt>
                <c:pt idx="14">
                  <c:v>546</c:v>
                </c:pt>
                <c:pt idx="15">
                  <c:v>733</c:v>
                </c:pt>
                <c:pt idx="16">
                  <c:v>785</c:v>
                </c:pt>
                <c:pt idx="17">
                  <c:v>662</c:v>
                </c:pt>
                <c:pt idx="18">
                  <c:v>427</c:v>
                </c:pt>
                <c:pt idx="19">
                  <c:v>222</c:v>
                </c:pt>
                <c:pt idx="20">
                  <c:v>394</c:v>
                </c:pt>
                <c:pt idx="21">
                  <c:v>914</c:v>
                </c:pt>
                <c:pt idx="22">
                  <c:v>631</c:v>
                </c:pt>
                <c:pt idx="23">
                  <c:v>684</c:v>
                </c:pt>
                <c:pt idx="24">
                  <c:v>685</c:v>
                </c:pt>
                <c:pt idx="25">
                  <c:v>546</c:v>
                </c:pt>
                <c:pt idx="26">
                  <c:v>602</c:v>
                </c:pt>
                <c:pt idx="27">
                  <c:v>492</c:v>
                </c:pt>
                <c:pt idx="28">
                  <c:v>388</c:v>
                </c:pt>
                <c:pt idx="29">
                  <c:v>765</c:v>
                </c:pt>
                <c:pt idx="30">
                  <c:v>586</c:v>
                </c:pt>
                <c:pt idx="31">
                  <c:v>629</c:v>
                </c:pt>
                <c:pt idx="32">
                  <c:v>945</c:v>
                </c:pt>
                <c:pt idx="33">
                  <c:v>631</c:v>
                </c:pt>
                <c:pt idx="34">
                  <c:v>460</c:v>
                </c:pt>
                <c:pt idx="35">
                  <c:v>556</c:v>
                </c:pt>
                <c:pt idx="36">
                  <c:v>644</c:v>
                </c:pt>
                <c:pt idx="37">
                  <c:v>795</c:v>
                </c:pt>
                <c:pt idx="38">
                  <c:v>265</c:v>
                </c:pt>
                <c:pt idx="39">
                  <c:v>416</c:v>
                </c:pt>
                <c:pt idx="40">
                  <c:v>516</c:v>
                </c:pt>
                <c:pt idx="41">
                  <c:v>662</c:v>
                </c:pt>
                <c:pt idx="42">
                  <c:v>754</c:v>
                </c:pt>
                <c:pt idx="43">
                  <c:v>863</c:v>
                </c:pt>
                <c:pt idx="44">
                  <c:v>276</c:v>
                </c:pt>
                <c:pt idx="45">
                  <c:v>582</c:v>
                </c:pt>
                <c:pt idx="46">
                  <c:v>446</c:v>
                </c:pt>
                <c:pt idx="47">
                  <c:v>605</c:v>
                </c:pt>
                <c:pt idx="48">
                  <c:v>330</c:v>
                </c:pt>
                <c:pt idx="49">
                  <c:v>429</c:v>
                </c:pt>
                <c:pt idx="50">
                  <c:v>390</c:v>
                </c:pt>
                <c:pt idx="51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5-455E-B0CE-7E6F7E1FD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9719431"/>
        <c:axId val="1839721479"/>
      </c:barChart>
      <c:catAx>
        <c:axId val="1839719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21479"/>
        <c:crosses val="autoZero"/>
        <c:auto val="1"/>
        <c:lblAlgn val="ctr"/>
        <c:lblOffset val="100"/>
        <c:noMultiLvlLbl val="0"/>
      </c:catAx>
      <c:valAx>
        <c:axId val="1839721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1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'Festival Expenditure Answers'!$B$1:$B$2</c:f>
              <c:strCache>
                <c:ptCount val="2"/>
                <c:pt idx="0">
                  <c:v>Intrastate  Visitors</c:v>
                </c:pt>
                <c:pt idx="1">
                  <c:v>Amount Spent $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'Festival Expenditure Answers'!$B$3:$B$54</c:f>
              <c:numCache>
                <c:formatCode>General</c:formatCode>
                <c:ptCount val="52"/>
                <c:pt idx="0">
                  <c:v>692</c:v>
                </c:pt>
                <c:pt idx="1">
                  <c:v>676</c:v>
                </c:pt>
                <c:pt idx="2">
                  <c:v>563</c:v>
                </c:pt>
                <c:pt idx="3">
                  <c:v>444</c:v>
                </c:pt>
                <c:pt idx="4">
                  <c:v>357</c:v>
                </c:pt>
                <c:pt idx="5">
                  <c:v>513</c:v>
                </c:pt>
                <c:pt idx="6">
                  <c:v>987</c:v>
                </c:pt>
                <c:pt idx="7">
                  <c:v>718</c:v>
                </c:pt>
                <c:pt idx="8">
                  <c:v>505</c:v>
                </c:pt>
                <c:pt idx="9">
                  <c:v>487</c:v>
                </c:pt>
                <c:pt idx="10">
                  <c:v>454</c:v>
                </c:pt>
                <c:pt idx="11">
                  <c:v>547</c:v>
                </c:pt>
                <c:pt idx="12">
                  <c:v>562</c:v>
                </c:pt>
                <c:pt idx="13">
                  <c:v>586</c:v>
                </c:pt>
                <c:pt idx="14">
                  <c:v>694</c:v>
                </c:pt>
                <c:pt idx="15">
                  <c:v>402</c:v>
                </c:pt>
                <c:pt idx="16">
                  <c:v>569</c:v>
                </c:pt>
                <c:pt idx="17">
                  <c:v>275</c:v>
                </c:pt>
                <c:pt idx="18">
                  <c:v>181</c:v>
                </c:pt>
                <c:pt idx="19">
                  <c:v>201</c:v>
                </c:pt>
                <c:pt idx="20">
                  <c:v>231</c:v>
                </c:pt>
                <c:pt idx="21">
                  <c:v>399</c:v>
                </c:pt>
                <c:pt idx="22">
                  <c:v>310</c:v>
                </c:pt>
                <c:pt idx="23">
                  <c:v>489</c:v>
                </c:pt>
                <c:pt idx="24">
                  <c:v>229</c:v>
                </c:pt>
                <c:pt idx="25">
                  <c:v>341</c:v>
                </c:pt>
                <c:pt idx="26">
                  <c:v>267</c:v>
                </c:pt>
                <c:pt idx="27">
                  <c:v>308</c:v>
                </c:pt>
                <c:pt idx="28">
                  <c:v>266</c:v>
                </c:pt>
                <c:pt idx="29">
                  <c:v>240</c:v>
                </c:pt>
                <c:pt idx="30">
                  <c:v>289</c:v>
                </c:pt>
                <c:pt idx="31">
                  <c:v>343</c:v>
                </c:pt>
                <c:pt idx="32">
                  <c:v>370</c:v>
                </c:pt>
                <c:pt idx="33">
                  <c:v>329</c:v>
                </c:pt>
                <c:pt idx="34">
                  <c:v>320</c:v>
                </c:pt>
                <c:pt idx="35">
                  <c:v>298</c:v>
                </c:pt>
                <c:pt idx="36">
                  <c:v>357</c:v>
                </c:pt>
                <c:pt idx="37">
                  <c:v>325</c:v>
                </c:pt>
                <c:pt idx="38">
                  <c:v>317</c:v>
                </c:pt>
                <c:pt idx="39">
                  <c:v>333</c:v>
                </c:pt>
                <c:pt idx="40">
                  <c:v>320</c:v>
                </c:pt>
                <c:pt idx="41">
                  <c:v>576</c:v>
                </c:pt>
                <c:pt idx="42">
                  <c:v>890</c:v>
                </c:pt>
                <c:pt idx="43">
                  <c:v>952</c:v>
                </c:pt>
                <c:pt idx="44">
                  <c:v>647</c:v>
                </c:pt>
                <c:pt idx="45">
                  <c:v>718</c:v>
                </c:pt>
                <c:pt idx="46">
                  <c:v>890</c:v>
                </c:pt>
                <c:pt idx="47">
                  <c:v>970</c:v>
                </c:pt>
                <c:pt idx="48">
                  <c:v>1032</c:v>
                </c:pt>
                <c:pt idx="49">
                  <c:v>927</c:v>
                </c:pt>
                <c:pt idx="50">
                  <c:v>1057</c:v>
                </c:pt>
                <c:pt idx="51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A-4319-9A75-8E2765F67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381703"/>
        <c:axId val="1956383751"/>
      </c:barChart>
      <c:catAx>
        <c:axId val="1956381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383751"/>
        <c:crosses val="autoZero"/>
        <c:auto val="1"/>
        <c:lblAlgn val="ctr"/>
        <c:lblOffset val="100"/>
        <c:noMultiLvlLbl val="0"/>
      </c:catAx>
      <c:valAx>
        <c:axId val="195638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38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'Festival Expenditure Answers'!$C$1:$C$2</c:f>
              <c:strCache>
                <c:ptCount val="2"/>
                <c:pt idx="0">
                  <c:v>International Visitors</c:v>
                </c:pt>
                <c:pt idx="1">
                  <c:v>Amount Spent $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'Festival Expenditure Answers'!$C$3:$C$14</c:f>
              <c:numCache>
                <c:formatCode>General</c:formatCode>
                <c:ptCount val="12"/>
                <c:pt idx="0">
                  <c:v>1119</c:v>
                </c:pt>
                <c:pt idx="1">
                  <c:v>615</c:v>
                </c:pt>
                <c:pt idx="2">
                  <c:v>971</c:v>
                </c:pt>
                <c:pt idx="3">
                  <c:v>553</c:v>
                </c:pt>
                <c:pt idx="4">
                  <c:v>343</c:v>
                </c:pt>
                <c:pt idx="5">
                  <c:v>502</c:v>
                </c:pt>
                <c:pt idx="6">
                  <c:v>928</c:v>
                </c:pt>
                <c:pt idx="7">
                  <c:v>1005</c:v>
                </c:pt>
                <c:pt idx="8">
                  <c:v>993</c:v>
                </c:pt>
                <c:pt idx="9">
                  <c:v>408</c:v>
                </c:pt>
                <c:pt idx="10">
                  <c:v>725</c:v>
                </c:pt>
                <c:pt idx="11">
                  <c:v>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1-45E1-AD63-A34EF24F4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413447"/>
        <c:axId val="1956415495"/>
      </c:barChart>
      <c:catAx>
        <c:axId val="1956413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15495"/>
        <c:crosses val="autoZero"/>
        <c:auto val="1"/>
        <c:lblAlgn val="ctr"/>
        <c:lblOffset val="100"/>
        <c:noMultiLvlLbl val="0"/>
      </c:catAx>
      <c:valAx>
        <c:axId val="1956415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1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1</xdr:row>
      <xdr:rowOff>176212</xdr:rowOff>
    </xdr:from>
    <xdr:to>
      <xdr:col>20</xdr:col>
      <xdr:colOff>466725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DC166-3898-3927-E5B2-03420E97D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200025</xdr:colOff>
      <xdr:row>18</xdr:row>
      <xdr:rowOff>138112</xdr:rowOff>
    </xdr:from>
    <xdr:to>
      <xdr:col>20</xdr:col>
      <xdr:colOff>504825</xdr:colOff>
      <xdr:row>32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DA58C-34DC-5F1A-C95B-030CD2BC8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209550</xdr:colOff>
      <xdr:row>34</xdr:row>
      <xdr:rowOff>157162</xdr:rowOff>
    </xdr:from>
    <xdr:to>
      <xdr:col>20</xdr:col>
      <xdr:colOff>514350</xdr:colOff>
      <xdr:row>48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6EC89B-1AE3-797A-01DA-63500A96F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0</xdr:row>
      <xdr:rowOff>161925</xdr:rowOff>
    </xdr:from>
    <xdr:to>
      <xdr:col>22</xdr:col>
      <xdr:colOff>466725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1CC31F-DD33-66A9-C645-C81593078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21</xdr:col>
      <xdr:colOff>295275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710BDE-825A-8C9B-A8A2-C9D830C37FA5}"/>
            </a:ext>
            <a:ext uri="{147F2762-F138-4A5C-976F-8EAC2B608ADB}">
              <a16:predDERef xmlns:a16="http://schemas.microsoft.com/office/drawing/2014/main" pred="{9E1CC31F-DD33-66A9-C645-C81593078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</xdr:colOff>
      <xdr:row>32</xdr:row>
      <xdr:rowOff>41275</xdr:rowOff>
    </xdr:from>
    <xdr:to>
      <xdr:col>20</xdr:col>
      <xdr:colOff>339725</xdr:colOff>
      <xdr:row>45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7E408B-C5DD-39F4-33D9-94880EFA6805}"/>
            </a:ext>
            <a:ext uri="{147F2762-F138-4A5C-976F-8EAC2B608ADB}">
              <a16:predDERef xmlns:a16="http://schemas.microsoft.com/office/drawing/2014/main" pred="{85710BDE-825A-8C9B-A8A2-C9D830C37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8366-4CE8-4E15-A1A9-6C4025F75265}">
  <dimension ref="A1:B15"/>
  <sheetViews>
    <sheetView workbookViewId="0">
      <selection activeCell="B8" sqref="B8"/>
    </sheetView>
  </sheetViews>
  <sheetFormatPr defaultRowHeight="15" x14ac:dyDescent="0.25"/>
  <cols>
    <col min="1" max="1" width="20.7109375" customWidth="1"/>
  </cols>
  <sheetData>
    <row r="1" spans="1:2" x14ac:dyDescent="0.25">
      <c r="A1" s="14" t="s">
        <v>3</v>
      </c>
      <c r="B1" s="14"/>
    </row>
    <row r="2" spans="1:2" x14ac:dyDescent="0.25">
      <c r="A2" s="12"/>
      <c r="B2" s="12"/>
    </row>
    <row r="3" spans="1:2" x14ac:dyDescent="0.25">
      <c r="A3" s="12" t="s">
        <v>6</v>
      </c>
      <c r="B3" s="12">
        <v>743.75</v>
      </c>
    </row>
    <row r="4" spans="1:2" x14ac:dyDescent="0.25">
      <c r="A4" s="12" t="s">
        <v>16</v>
      </c>
      <c r="B4" s="12">
        <v>74.986678109777571</v>
      </c>
    </row>
    <row r="5" spans="1:2" x14ac:dyDescent="0.25">
      <c r="A5" s="12" t="s">
        <v>9</v>
      </c>
      <c r="B5" s="12">
        <v>744</v>
      </c>
    </row>
    <row r="6" spans="1:2" x14ac:dyDescent="0.25">
      <c r="A6" s="12" t="s">
        <v>17</v>
      </c>
      <c r="B6" s="12" t="e">
        <v>#N/A</v>
      </c>
    </row>
    <row r="7" spans="1:2" x14ac:dyDescent="0.25">
      <c r="A7" s="12" t="s">
        <v>18</v>
      </c>
      <c r="B7" s="12">
        <v>259.76147275389536</v>
      </c>
    </row>
    <row r="8" spans="1:2" x14ac:dyDescent="0.25">
      <c r="A8" s="12" t="s">
        <v>19</v>
      </c>
      <c r="B8" s="12">
        <v>67476.022727272721</v>
      </c>
    </row>
    <row r="9" spans="1:2" x14ac:dyDescent="0.25">
      <c r="A9" s="12" t="s">
        <v>20</v>
      </c>
      <c r="B9" s="12">
        <v>-1.4141100498836665</v>
      </c>
    </row>
    <row r="10" spans="1:2" x14ac:dyDescent="0.25">
      <c r="A10" s="12" t="s">
        <v>21</v>
      </c>
      <c r="B10" s="12">
        <v>-0.13235696492244489</v>
      </c>
    </row>
    <row r="11" spans="1:2" x14ac:dyDescent="0.25">
      <c r="A11" s="12" t="s">
        <v>12</v>
      </c>
      <c r="B11" s="12">
        <v>776</v>
      </c>
    </row>
    <row r="12" spans="1:2" x14ac:dyDescent="0.25">
      <c r="A12" s="12" t="s">
        <v>7</v>
      </c>
      <c r="B12" s="12">
        <v>343</v>
      </c>
    </row>
    <row r="13" spans="1:2" x14ac:dyDescent="0.25">
      <c r="A13" s="12" t="s">
        <v>10</v>
      </c>
      <c r="B13" s="12">
        <v>1119</v>
      </c>
    </row>
    <row r="14" spans="1:2" x14ac:dyDescent="0.25">
      <c r="A14" s="12" t="s">
        <v>22</v>
      </c>
      <c r="B14" s="12">
        <v>8925</v>
      </c>
    </row>
    <row r="15" spans="1:2" ht="15.75" thickBot="1" x14ac:dyDescent="0.3">
      <c r="A15" s="13" t="s">
        <v>23</v>
      </c>
      <c r="B15" s="1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4C30-536E-4847-93F0-E1D4F6B31C3B}">
  <dimension ref="A1:B15"/>
  <sheetViews>
    <sheetView workbookViewId="0">
      <selection activeCell="B7" sqref="B7:B8"/>
    </sheetView>
  </sheetViews>
  <sheetFormatPr defaultRowHeight="15" x14ac:dyDescent="0.25"/>
  <sheetData>
    <row r="1" spans="1:2" x14ac:dyDescent="0.25">
      <c r="A1" s="14" t="s">
        <v>3</v>
      </c>
      <c r="B1" s="14"/>
    </row>
    <row r="2" spans="1:2" x14ac:dyDescent="0.25">
      <c r="A2" s="12"/>
      <c r="B2" s="12"/>
    </row>
    <row r="3" spans="1:2" x14ac:dyDescent="0.25">
      <c r="A3" s="12" t="s">
        <v>6</v>
      </c>
      <c r="B3" s="12">
        <v>508.01923076923077</v>
      </c>
    </row>
    <row r="4" spans="1:2" x14ac:dyDescent="0.25">
      <c r="A4" s="12" t="s">
        <v>16</v>
      </c>
      <c r="B4" s="12">
        <v>33.955270577458187</v>
      </c>
    </row>
    <row r="5" spans="1:2" x14ac:dyDescent="0.25">
      <c r="A5" s="12" t="s">
        <v>9</v>
      </c>
      <c r="B5" s="12">
        <v>449</v>
      </c>
    </row>
    <row r="6" spans="1:2" x14ac:dyDescent="0.25">
      <c r="A6" s="12" t="s">
        <v>17</v>
      </c>
      <c r="B6" s="12">
        <v>357</v>
      </c>
    </row>
    <row r="7" spans="1:2" x14ac:dyDescent="0.25">
      <c r="A7" s="12" t="s">
        <v>18</v>
      </c>
      <c r="B7" s="12">
        <v>244.85493827855845</v>
      </c>
    </row>
    <row r="8" spans="1:2" x14ac:dyDescent="0.25">
      <c r="A8" s="12" t="s">
        <v>19</v>
      </c>
      <c r="B8" s="12">
        <v>59953.940799396667</v>
      </c>
    </row>
    <row r="9" spans="1:2" x14ac:dyDescent="0.25">
      <c r="A9" s="12" t="s">
        <v>20</v>
      </c>
      <c r="B9" s="12">
        <v>-0.42702353471657428</v>
      </c>
    </row>
    <row r="10" spans="1:2" x14ac:dyDescent="0.25">
      <c r="A10" s="12" t="s">
        <v>21</v>
      </c>
      <c r="B10" s="12">
        <v>0.79531393409328155</v>
      </c>
    </row>
    <row r="11" spans="1:2" x14ac:dyDescent="0.25">
      <c r="A11" s="12" t="s">
        <v>12</v>
      </c>
      <c r="B11" s="12">
        <v>876</v>
      </c>
    </row>
    <row r="12" spans="1:2" x14ac:dyDescent="0.25">
      <c r="A12" s="12" t="s">
        <v>7</v>
      </c>
      <c r="B12" s="12">
        <v>181</v>
      </c>
    </row>
    <row r="13" spans="1:2" x14ac:dyDescent="0.25">
      <c r="A13" s="12" t="s">
        <v>10</v>
      </c>
      <c r="B13" s="12">
        <v>1057</v>
      </c>
    </row>
    <row r="14" spans="1:2" x14ac:dyDescent="0.25">
      <c r="A14" s="12" t="s">
        <v>22</v>
      </c>
      <c r="B14" s="12">
        <v>26417</v>
      </c>
    </row>
    <row r="15" spans="1:2" ht="15.75" thickBot="1" x14ac:dyDescent="0.3">
      <c r="A15" s="13" t="s">
        <v>23</v>
      </c>
      <c r="B15" s="13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200E-7460-4D8F-9C64-A40AB5481907}">
  <dimension ref="A1:B15"/>
  <sheetViews>
    <sheetView workbookViewId="0">
      <selection activeCell="B7" sqref="B7:B8"/>
    </sheetView>
  </sheetViews>
  <sheetFormatPr defaultRowHeight="15" x14ac:dyDescent="0.25"/>
  <sheetData>
    <row r="1" spans="1:2" x14ac:dyDescent="0.25">
      <c r="A1" s="14" t="s">
        <v>3</v>
      </c>
      <c r="B1" s="14"/>
    </row>
    <row r="2" spans="1:2" x14ac:dyDescent="0.25">
      <c r="A2" s="12"/>
      <c r="B2" s="12"/>
    </row>
    <row r="3" spans="1:2" x14ac:dyDescent="0.25">
      <c r="A3" s="12" t="s">
        <v>6</v>
      </c>
      <c r="B3" s="12">
        <v>581.69230769230774</v>
      </c>
    </row>
    <row r="4" spans="1:2" x14ac:dyDescent="0.25">
      <c r="A4" s="12" t="s">
        <v>16</v>
      </c>
      <c r="B4" s="12">
        <v>27.042164976617123</v>
      </c>
    </row>
    <row r="5" spans="1:2" x14ac:dyDescent="0.25">
      <c r="A5" s="12" t="s">
        <v>9</v>
      </c>
      <c r="B5" s="12">
        <v>584</v>
      </c>
    </row>
    <row r="6" spans="1:2" x14ac:dyDescent="0.25">
      <c r="A6" s="12" t="s">
        <v>17</v>
      </c>
      <c r="B6" s="12">
        <v>446</v>
      </c>
    </row>
    <row r="7" spans="1:2" x14ac:dyDescent="0.25">
      <c r="A7" s="12" t="s">
        <v>18</v>
      </c>
      <c r="B7" s="12">
        <v>195.00382484549897</v>
      </c>
    </row>
    <row r="8" spans="1:2" x14ac:dyDescent="0.25">
      <c r="A8" s="12" t="s">
        <v>19</v>
      </c>
      <c r="B8" s="12">
        <v>38026.491704374042</v>
      </c>
    </row>
    <row r="9" spans="1:2" x14ac:dyDescent="0.25">
      <c r="A9" s="12" t="s">
        <v>20</v>
      </c>
      <c r="B9" s="12">
        <v>-0.61191277566336932</v>
      </c>
    </row>
    <row r="10" spans="1:2" x14ac:dyDescent="0.25">
      <c r="A10" s="12" t="s">
        <v>21</v>
      </c>
      <c r="B10" s="12">
        <v>0.25696367430199191</v>
      </c>
    </row>
    <row r="11" spans="1:2" x14ac:dyDescent="0.25">
      <c r="A11" s="12" t="s">
        <v>12</v>
      </c>
      <c r="B11" s="12">
        <v>817</v>
      </c>
    </row>
    <row r="12" spans="1:2" x14ac:dyDescent="0.25">
      <c r="A12" s="12" t="s">
        <v>7</v>
      </c>
      <c r="B12" s="12">
        <v>222</v>
      </c>
    </row>
    <row r="13" spans="1:2" x14ac:dyDescent="0.25">
      <c r="A13" s="12" t="s">
        <v>10</v>
      </c>
      <c r="B13" s="12">
        <v>1039</v>
      </c>
    </row>
    <row r="14" spans="1:2" x14ac:dyDescent="0.25">
      <c r="A14" s="12" t="s">
        <v>22</v>
      </c>
      <c r="B14" s="12">
        <v>30248</v>
      </c>
    </row>
    <row r="15" spans="1:2" ht="15.75" thickBot="1" x14ac:dyDescent="0.3">
      <c r="A15" s="13" t="s">
        <v>23</v>
      </c>
      <c r="B15" s="13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3243-E77E-4257-ABC4-CBF9DBE7693A}">
  <dimension ref="A1:L54"/>
  <sheetViews>
    <sheetView tabSelected="1" topLeftCell="A5" zoomScaleNormal="100" workbookViewId="0">
      <selection activeCell="M43" sqref="M43"/>
    </sheetView>
  </sheetViews>
  <sheetFormatPr defaultRowHeight="15" x14ac:dyDescent="0.25"/>
  <cols>
    <col min="1" max="3" width="16" bestFit="1" customWidth="1"/>
    <col min="6" max="6" width="16.140625" customWidth="1"/>
  </cols>
  <sheetData>
    <row r="1" spans="1:12" ht="30.6" customHeight="1" x14ac:dyDescent="0.25">
      <c r="A1" s="1" t="s">
        <v>0</v>
      </c>
      <c r="B1" s="1" t="s">
        <v>1</v>
      </c>
      <c r="C1" s="1" t="s">
        <v>2</v>
      </c>
    </row>
    <row r="2" spans="1:12" ht="15.75" x14ac:dyDescent="0.25">
      <c r="A2" s="2" t="s">
        <v>3</v>
      </c>
      <c r="B2" s="2" t="s">
        <v>3</v>
      </c>
      <c r="C2" s="2" t="s">
        <v>3</v>
      </c>
    </row>
    <row r="3" spans="1:12" ht="15.75" x14ac:dyDescent="0.25">
      <c r="A3" s="3">
        <v>1039</v>
      </c>
      <c r="B3" s="3">
        <v>692</v>
      </c>
      <c r="C3" s="3">
        <v>1119</v>
      </c>
      <c r="E3" s="6" t="s">
        <v>4</v>
      </c>
      <c r="F3" s="6"/>
      <c r="G3" s="6"/>
      <c r="H3" s="6"/>
      <c r="I3" s="6"/>
      <c r="J3" s="7"/>
      <c r="K3" s="7"/>
      <c r="L3" s="7"/>
    </row>
    <row r="4" spans="1:12" ht="15.75" x14ac:dyDescent="0.25">
      <c r="A4" s="3">
        <v>508</v>
      </c>
      <c r="B4" s="3">
        <v>676</v>
      </c>
      <c r="C4" s="3">
        <v>615</v>
      </c>
      <c r="E4" s="7" t="s">
        <v>5</v>
      </c>
      <c r="F4" s="7"/>
      <c r="G4" s="7"/>
      <c r="H4" s="7"/>
      <c r="I4" s="7"/>
      <c r="J4" s="7"/>
      <c r="K4" s="7"/>
      <c r="L4" s="7"/>
    </row>
    <row r="5" spans="1:12" ht="15.75" x14ac:dyDescent="0.25">
      <c r="A5" s="3">
        <v>907</v>
      </c>
      <c r="B5" s="3">
        <v>563</v>
      </c>
      <c r="C5" s="3">
        <v>971</v>
      </c>
      <c r="E5" s="7" t="s">
        <v>6</v>
      </c>
      <c r="F5" s="8">
        <v>581.69230769230774</v>
      </c>
      <c r="G5" s="7"/>
      <c r="H5" s="7" t="s">
        <v>7</v>
      </c>
      <c r="I5" s="8">
        <v>222</v>
      </c>
      <c r="J5" s="7"/>
      <c r="K5" s="7" t="s">
        <v>8</v>
      </c>
      <c r="L5" s="8">
        <v>195.00382484549897</v>
      </c>
    </row>
    <row r="6" spans="1:12" ht="15.75" x14ac:dyDescent="0.25">
      <c r="A6" s="3">
        <v>446</v>
      </c>
      <c r="B6" s="3">
        <v>444</v>
      </c>
      <c r="C6" s="3">
        <v>553</v>
      </c>
      <c r="E6" s="7" t="s">
        <v>9</v>
      </c>
      <c r="F6" s="9">
        <v>584</v>
      </c>
      <c r="G6" s="7"/>
      <c r="H6" s="7" t="s">
        <v>10</v>
      </c>
      <c r="I6" s="9">
        <v>1039</v>
      </c>
      <c r="J6" s="7"/>
      <c r="K6" s="7" t="s">
        <v>11</v>
      </c>
      <c r="L6" s="9">
        <v>38026.491704374042</v>
      </c>
    </row>
    <row r="7" spans="1:12" ht="15.75" x14ac:dyDescent="0.25">
      <c r="A7" s="3">
        <v>350</v>
      </c>
      <c r="B7" s="3">
        <v>357</v>
      </c>
      <c r="C7" s="3">
        <v>343</v>
      </c>
      <c r="E7" s="7"/>
      <c r="F7" s="7"/>
      <c r="G7" s="7"/>
      <c r="H7" s="7" t="s">
        <v>12</v>
      </c>
      <c r="I7" s="9">
        <v>817</v>
      </c>
      <c r="J7" s="7"/>
      <c r="K7" s="7"/>
      <c r="L7" s="7"/>
    </row>
    <row r="8" spans="1:12" ht="15.75" x14ac:dyDescent="0.25">
      <c r="A8" s="3">
        <v>398</v>
      </c>
      <c r="B8" s="3">
        <v>513</v>
      </c>
      <c r="C8" s="3">
        <v>502</v>
      </c>
      <c r="E8" s="7"/>
      <c r="F8" s="7"/>
      <c r="G8" s="7"/>
      <c r="H8" s="7"/>
      <c r="I8" s="7"/>
      <c r="J8" s="7"/>
      <c r="K8" s="7"/>
      <c r="L8" s="7"/>
    </row>
    <row r="9" spans="1:12" ht="15.75" x14ac:dyDescent="0.25">
      <c r="A9" s="3">
        <v>776</v>
      </c>
      <c r="B9" s="3">
        <v>987</v>
      </c>
      <c r="C9" s="3">
        <v>928</v>
      </c>
      <c r="E9" s="7" t="s">
        <v>13</v>
      </c>
      <c r="F9" s="7"/>
      <c r="G9" s="7"/>
      <c r="H9" s="7"/>
      <c r="I9" s="7"/>
      <c r="J9" s="7"/>
      <c r="K9" s="7"/>
      <c r="L9" s="7"/>
    </row>
    <row r="10" spans="1:12" ht="15.75" x14ac:dyDescent="0.25">
      <c r="A10" s="3">
        <v>772</v>
      </c>
      <c r="B10" s="3">
        <v>718</v>
      </c>
      <c r="C10" s="3">
        <v>1005</v>
      </c>
      <c r="E10" s="7" t="s">
        <v>6</v>
      </c>
      <c r="F10" s="8">
        <v>508.01923076923077</v>
      </c>
      <c r="G10" s="7"/>
      <c r="H10" s="7" t="s">
        <v>7</v>
      </c>
      <c r="I10" s="8">
        <v>181</v>
      </c>
      <c r="J10" s="7"/>
      <c r="K10" s="7" t="s">
        <v>8</v>
      </c>
      <c r="L10" s="8">
        <v>244.85493827855845</v>
      </c>
    </row>
    <row r="11" spans="1:12" ht="15.75" x14ac:dyDescent="0.25">
      <c r="A11" s="3">
        <v>867</v>
      </c>
      <c r="B11" s="3">
        <v>505</v>
      </c>
      <c r="C11" s="3">
        <v>993</v>
      </c>
      <c r="E11" s="7" t="s">
        <v>9</v>
      </c>
      <c r="F11" s="9">
        <v>449</v>
      </c>
      <c r="G11" s="7"/>
      <c r="H11" s="7" t="s">
        <v>10</v>
      </c>
      <c r="I11" s="9">
        <v>1057</v>
      </c>
      <c r="J11" s="7"/>
      <c r="K11" s="7" t="s">
        <v>11</v>
      </c>
      <c r="L11" s="9">
        <v>59953.940799396667</v>
      </c>
    </row>
    <row r="12" spans="1:12" ht="15.75" x14ac:dyDescent="0.25">
      <c r="A12" s="3">
        <v>476</v>
      </c>
      <c r="B12" s="3">
        <v>487</v>
      </c>
      <c r="C12" s="3">
        <v>408</v>
      </c>
      <c r="E12" s="7"/>
      <c r="F12" s="7"/>
      <c r="G12" s="7"/>
      <c r="H12" s="7" t="s">
        <v>12</v>
      </c>
      <c r="I12" s="9">
        <v>876</v>
      </c>
      <c r="J12" s="7"/>
      <c r="K12" s="7"/>
      <c r="L12" s="7"/>
    </row>
    <row r="13" spans="1:12" ht="15.75" x14ac:dyDescent="0.25">
      <c r="A13" s="3">
        <v>758</v>
      </c>
      <c r="B13" s="3">
        <v>454</v>
      </c>
      <c r="C13" s="3">
        <v>725</v>
      </c>
      <c r="E13" s="7"/>
      <c r="F13" s="7"/>
      <c r="G13" s="7"/>
      <c r="H13" s="7"/>
      <c r="I13" s="7"/>
      <c r="J13" s="7"/>
      <c r="K13" s="7"/>
      <c r="L13" s="7"/>
    </row>
    <row r="14" spans="1:12" ht="15.75" x14ac:dyDescent="0.25">
      <c r="A14" s="3">
        <v>597</v>
      </c>
      <c r="B14" s="3">
        <v>547</v>
      </c>
      <c r="C14" s="3">
        <v>763</v>
      </c>
      <c r="E14" s="7" t="s">
        <v>14</v>
      </c>
      <c r="F14" s="7"/>
      <c r="G14" s="7"/>
      <c r="H14" s="7"/>
      <c r="I14" s="7"/>
      <c r="J14" s="7"/>
      <c r="K14" s="7"/>
      <c r="L14" s="7"/>
    </row>
    <row r="15" spans="1:12" ht="15.75" x14ac:dyDescent="0.25">
      <c r="A15" s="3">
        <v>468</v>
      </c>
      <c r="B15" s="3">
        <v>562</v>
      </c>
      <c r="C15" s="4"/>
      <c r="E15" s="7" t="s">
        <v>6</v>
      </c>
      <c r="F15" s="15">
        <v>743.75</v>
      </c>
      <c r="G15" s="7"/>
      <c r="H15" s="7" t="s">
        <v>7</v>
      </c>
      <c r="I15" s="8">
        <v>343</v>
      </c>
      <c r="J15" s="7"/>
      <c r="K15" s="7" t="s">
        <v>8</v>
      </c>
      <c r="L15" s="8">
        <v>259.76147275389536</v>
      </c>
    </row>
    <row r="16" spans="1:12" ht="15.75" x14ac:dyDescent="0.25">
      <c r="A16" s="3">
        <v>321</v>
      </c>
      <c r="B16" s="3">
        <v>586</v>
      </c>
      <c r="C16" s="5"/>
      <c r="E16" s="7" t="s">
        <v>9</v>
      </c>
      <c r="F16" s="9">
        <v>744</v>
      </c>
      <c r="G16" s="7"/>
      <c r="H16" s="7" t="s">
        <v>10</v>
      </c>
      <c r="I16" s="9">
        <v>1119</v>
      </c>
      <c r="J16" s="7"/>
      <c r="K16" s="7" t="s">
        <v>11</v>
      </c>
      <c r="L16" s="9">
        <v>67476.022727272721</v>
      </c>
    </row>
    <row r="17" spans="1:12" ht="15.75" x14ac:dyDescent="0.25">
      <c r="A17" s="3">
        <v>546</v>
      </c>
      <c r="B17" s="3">
        <v>694</v>
      </c>
      <c r="C17" s="4"/>
      <c r="E17" s="7"/>
      <c r="F17" s="7"/>
      <c r="G17" s="7"/>
      <c r="H17" s="7" t="s">
        <v>12</v>
      </c>
      <c r="I17" s="9">
        <v>776</v>
      </c>
      <c r="J17" s="7"/>
      <c r="K17" s="7"/>
      <c r="L17" s="7"/>
    </row>
    <row r="18" spans="1:12" ht="15.75" x14ac:dyDescent="0.25">
      <c r="A18" s="3">
        <v>733</v>
      </c>
      <c r="B18" s="3">
        <v>402</v>
      </c>
      <c r="C18" s="4"/>
      <c r="E18" s="7"/>
      <c r="F18" s="7"/>
      <c r="G18" s="7"/>
      <c r="H18" s="7"/>
      <c r="I18" s="7"/>
      <c r="J18" s="7"/>
      <c r="K18" s="7"/>
      <c r="L18" s="7"/>
    </row>
    <row r="19" spans="1:12" ht="15.75" x14ac:dyDescent="0.25">
      <c r="A19" s="3">
        <v>785</v>
      </c>
      <c r="B19" s="3">
        <v>569</v>
      </c>
      <c r="C19" s="4"/>
      <c r="E19" s="7"/>
      <c r="F19" s="7"/>
      <c r="G19" s="7"/>
      <c r="H19" s="7"/>
      <c r="I19" s="7"/>
      <c r="J19" s="7"/>
      <c r="K19" s="7"/>
      <c r="L19" s="7"/>
    </row>
    <row r="20" spans="1:12" ht="15.75" x14ac:dyDescent="0.25">
      <c r="A20" s="3">
        <v>662</v>
      </c>
      <c r="B20" s="3">
        <v>275</v>
      </c>
      <c r="C20" s="4"/>
      <c r="E20" s="6" t="s">
        <v>15</v>
      </c>
      <c r="F20" s="6"/>
      <c r="G20" s="6"/>
      <c r="H20" s="6"/>
      <c r="I20" s="6"/>
      <c r="J20" s="6"/>
      <c r="K20" s="6"/>
      <c r="L20" s="6"/>
    </row>
    <row r="21" spans="1:12" ht="15.75" x14ac:dyDescent="0.25">
      <c r="A21" s="3">
        <v>427</v>
      </c>
      <c r="B21" s="3">
        <v>181</v>
      </c>
      <c r="C21" s="4"/>
    </row>
    <row r="22" spans="1:12" ht="15.75" x14ac:dyDescent="0.25">
      <c r="A22" s="3">
        <v>222</v>
      </c>
      <c r="B22" s="3">
        <v>201</v>
      </c>
      <c r="C22" s="4"/>
    </row>
    <row r="23" spans="1:12" ht="15.75" x14ac:dyDescent="0.25">
      <c r="A23" s="3">
        <v>394</v>
      </c>
      <c r="B23" s="3">
        <v>231</v>
      </c>
      <c r="C23" s="4"/>
    </row>
    <row r="24" spans="1:12" ht="15.75" x14ac:dyDescent="0.25">
      <c r="A24" s="3">
        <v>914</v>
      </c>
      <c r="B24" s="3">
        <v>399</v>
      </c>
      <c r="C24" s="4"/>
    </row>
    <row r="25" spans="1:12" ht="15.75" x14ac:dyDescent="0.25">
      <c r="A25" s="3">
        <v>631</v>
      </c>
      <c r="B25" s="3">
        <v>310</v>
      </c>
      <c r="C25" s="4"/>
    </row>
    <row r="26" spans="1:12" ht="15.75" x14ac:dyDescent="0.25">
      <c r="A26" s="3">
        <v>684</v>
      </c>
      <c r="B26" s="3">
        <v>489</v>
      </c>
      <c r="C26" s="4"/>
    </row>
    <row r="27" spans="1:12" ht="15.75" x14ac:dyDescent="0.25">
      <c r="A27" s="3">
        <v>685</v>
      </c>
      <c r="B27" s="3">
        <v>229</v>
      </c>
      <c r="C27" s="4"/>
    </row>
    <row r="28" spans="1:12" ht="15.75" x14ac:dyDescent="0.25">
      <c r="A28" s="3">
        <v>546</v>
      </c>
      <c r="B28" s="3">
        <v>341</v>
      </c>
      <c r="C28" s="4"/>
    </row>
    <row r="29" spans="1:12" ht="15.75" x14ac:dyDescent="0.25">
      <c r="A29" s="3">
        <v>602</v>
      </c>
      <c r="B29" s="3">
        <v>267</v>
      </c>
      <c r="C29" s="4"/>
    </row>
    <row r="30" spans="1:12" ht="15.75" x14ac:dyDescent="0.25">
      <c r="A30" s="3">
        <v>492</v>
      </c>
      <c r="B30" s="3">
        <v>308</v>
      </c>
      <c r="C30" s="4"/>
    </row>
    <row r="31" spans="1:12" ht="15.75" x14ac:dyDescent="0.25">
      <c r="A31" s="3">
        <v>388</v>
      </c>
      <c r="B31" s="3">
        <v>266</v>
      </c>
      <c r="C31" s="4"/>
    </row>
    <row r="32" spans="1:12" ht="15.75" x14ac:dyDescent="0.25">
      <c r="A32" s="3">
        <v>765</v>
      </c>
      <c r="B32" s="3">
        <v>240</v>
      </c>
      <c r="C32" s="4"/>
    </row>
    <row r="33" spans="1:3" ht="15.75" x14ac:dyDescent="0.25">
      <c r="A33" s="3">
        <v>586</v>
      </c>
      <c r="B33" s="3">
        <v>289</v>
      </c>
      <c r="C33" s="4"/>
    </row>
    <row r="34" spans="1:3" ht="15.75" x14ac:dyDescent="0.25">
      <c r="A34" s="3">
        <v>629</v>
      </c>
      <c r="B34" s="3">
        <v>343</v>
      </c>
      <c r="C34" s="4"/>
    </row>
    <row r="35" spans="1:3" ht="15.75" x14ac:dyDescent="0.25">
      <c r="A35" s="3">
        <v>945</v>
      </c>
      <c r="B35" s="3">
        <v>370</v>
      </c>
      <c r="C35" s="4"/>
    </row>
    <row r="36" spans="1:3" ht="15.75" x14ac:dyDescent="0.25">
      <c r="A36" s="3">
        <v>631</v>
      </c>
      <c r="B36" s="3">
        <v>329</v>
      </c>
      <c r="C36" s="4"/>
    </row>
    <row r="37" spans="1:3" ht="15.75" x14ac:dyDescent="0.25">
      <c r="A37" s="3">
        <v>460</v>
      </c>
      <c r="B37" s="3">
        <v>320</v>
      </c>
      <c r="C37" s="4"/>
    </row>
    <row r="38" spans="1:3" ht="15.75" x14ac:dyDescent="0.25">
      <c r="A38" s="3">
        <v>556</v>
      </c>
      <c r="B38" s="3">
        <v>298</v>
      </c>
      <c r="C38" s="4"/>
    </row>
    <row r="39" spans="1:3" ht="15.75" x14ac:dyDescent="0.25">
      <c r="A39" s="3">
        <v>644</v>
      </c>
      <c r="B39" s="3">
        <v>357</v>
      </c>
      <c r="C39" s="4"/>
    </row>
    <row r="40" spans="1:3" ht="15.75" x14ac:dyDescent="0.25">
      <c r="A40" s="3">
        <v>795</v>
      </c>
      <c r="B40" s="3">
        <v>325</v>
      </c>
      <c r="C40" s="4"/>
    </row>
    <row r="41" spans="1:3" ht="15.75" x14ac:dyDescent="0.25">
      <c r="A41" s="3">
        <v>265</v>
      </c>
      <c r="B41" s="3">
        <v>317</v>
      </c>
      <c r="C41" s="4"/>
    </row>
    <row r="42" spans="1:3" ht="15.75" x14ac:dyDescent="0.25">
      <c r="A42" s="3">
        <v>416</v>
      </c>
      <c r="B42" s="3">
        <v>333</v>
      </c>
      <c r="C42" s="4"/>
    </row>
    <row r="43" spans="1:3" ht="15.75" x14ac:dyDescent="0.25">
      <c r="A43" s="3">
        <v>516</v>
      </c>
      <c r="B43" s="3">
        <v>320</v>
      </c>
      <c r="C43" s="4"/>
    </row>
    <row r="44" spans="1:3" ht="15.75" x14ac:dyDescent="0.25">
      <c r="A44" s="3">
        <v>662</v>
      </c>
      <c r="B44" s="3">
        <v>576</v>
      </c>
      <c r="C44" s="4"/>
    </row>
    <row r="45" spans="1:3" ht="15.75" x14ac:dyDescent="0.25">
      <c r="A45" s="3">
        <v>754</v>
      </c>
      <c r="B45" s="3">
        <v>890</v>
      </c>
      <c r="C45" s="4"/>
    </row>
    <row r="46" spans="1:3" ht="15.75" x14ac:dyDescent="0.25">
      <c r="A46" s="3">
        <v>863</v>
      </c>
      <c r="B46" s="3">
        <v>952</v>
      </c>
      <c r="C46" s="4"/>
    </row>
    <row r="47" spans="1:3" ht="15.75" x14ac:dyDescent="0.25">
      <c r="A47" s="3">
        <v>276</v>
      </c>
      <c r="B47" s="3">
        <v>647</v>
      </c>
      <c r="C47" s="4"/>
    </row>
    <row r="48" spans="1:3" ht="15.75" x14ac:dyDescent="0.25">
      <c r="A48" s="3">
        <v>582</v>
      </c>
      <c r="B48" s="3">
        <v>718</v>
      </c>
      <c r="C48" s="4"/>
    </row>
    <row r="49" spans="1:3" ht="15.75" x14ac:dyDescent="0.25">
      <c r="A49" s="3">
        <v>446</v>
      </c>
      <c r="B49" s="3">
        <v>890</v>
      </c>
      <c r="C49" s="4"/>
    </row>
    <row r="50" spans="1:3" ht="15.75" x14ac:dyDescent="0.25">
      <c r="A50" s="3">
        <v>605</v>
      </c>
      <c r="B50" s="3">
        <v>970</v>
      </c>
      <c r="C50" s="4"/>
    </row>
    <row r="51" spans="1:3" ht="15.75" x14ac:dyDescent="0.25">
      <c r="A51" s="3">
        <v>330</v>
      </c>
      <c r="B51" s="3">
        <v>1032</v>
      </c>
      <c r="C51" s="4"/>
    </row>
    <row r="52" spans="1:3" ht="15.75" x14ac:dyDescent="0.25">
      <c r="A52" s="3">
        <v>429</v>
      </c>
      <c r="B52" s="3">
        <v>927</v>
      </c>
      <c r="C52" s="4"/>
    </row>
    <row r="53" spans="1:3" ht="15.75" x14ac:dyDescent="0.25">
      <c r="A53" s="3">
        <v>390</v>
      </c>
      <c r="B53" s="3">
        <v>1057</v>
      </c>
      <c r="C53" s="4"/>
    </row>
    <row r="54" spans="1:3" ht="15.75" x14ac:dyDescent="0.25">
      <c r="A54" s="3">
        <v>309</v>
      </c>
      <c r="B54" s="3">
        <v>664</v>
      </c>
      <c r="C54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CD45-3409-4CBD-8CD4-B5FD2595D883}">
  <dimension ref="A1:L54"/>
  <sheetViews>
    <sheetView topLeftCell="A11" workbookViewId="0">
      <selection activeCell="L24" sqref="L24"/>
    </sheetView>
  </sheetViews>
  <sheetFormatPr defaultRowHeight="15" x14ac:dyDescent="0.25"/>
  <cols>
    <col min="1" max="3" width="17.140625" bestFit="1" customWidth="1"/>
  </cols>
  <sheetData>
    <row r="1" spans="1:12" ht="31.5" x14ac:dyDescent="0.25">
      <c r="A1" s="1" t="s">
        <v>0</v>
      </c>
      <c r="B1" s="1" t="s">
        <v>1</v>
      </c>
      <c r="C1" s="1" t="s">
        <v>2</v>
      </c>
      <c r="D1" s="7"/>
      <c r="E1" s="7"/>
      <c r="F1" s="7"/>
      <c r="G1" s="7"/>
      <c r="H1" s="7"/>
      <c r="I1" s="7"/>
      <c r="J1" s="7"/>
      <c r="K1" s="7"/>
      <c r="L1" s="7"/>
    </row>
    <row r="2" spans="1:12" ht="15.75" x14ac:dyDescent="0.25">
      <c r="A2" s="10" t="s">
        <v>3</v>
      </c>
      <c r="B2" s="10" t="s">
        <v>3</v>
      </c>
      <c r="C2" s="10" t="s">
        <v>3</v>
      </c>
      <c r="D2" s="7"/>
      <c r="E2" s="7"/>
      <c r="F2" s="7"/>
      <c r="G2" s="7"/>
      <c r="H2" s="7"/>
      <c r="I2" s="7"/>
      <c r="J2" s="7"/>
      <c r="K2" s="7"/>
      <c r="L2" s="7"/>
    </row>
    <row r="3" spans="1:12" ht="15" customHeight="1" x14ac:dyDescent="0.25">
      <c r="A3" s="11">
        <v>1039</v>
      </c>
      <c r="B3" s="11">
        <v>692</v>
      </c>
      <c r="C3" s="11">
        <v>1119</v>
      </c>
      <c r="D3" s="7"/>
      <c r="E3" s="6" t="s">
        <v>4</v>
      </c>
      <c r="F3" s="6"/>
      <c r="G3" s="6"/>
      <c r="H3" s="6"/>
      <c r="I3" s="6"/>
      <c r="J3" s="7"/>
      <c r="K3" s="7"/>
      <c r="L3" s="7"/>
    </row>
    <row r="4" spans="1:12" ht="15.75" x14ac:dyDescent="0.25">
      <c r="A4" s="11">
        <v>508</v>
      </c>
      <c r="B4" s="11">
        <v>676</v>
      </c>
      <c r="C4" s="11">
        <v>615</v>
      </c>
      <c r="D4" s="7"/>
      <c r="E4" s="7" t="s">
        <v>5</v>
      </c>
      <c r="F4" s="7"/>
      <c r="G4" s="7"/>
      <c r="H4" s="7"/>
      <c r="I4" s="7"/>
      <c r="J4" s="7"/>
      <c r="K4" s="7"/>
      <c r="L4" s="7"/>
    </row>
    <row r="5" spans="1:12" ht="15.75" x14ac:dyDescent="0.25">
      <c r="A5" s="11">
        <v>907</v>
      </c>
      <c r="B5" s="11">
        <v>563</v>
      </c>
      <c r="C5" s="11">
        <v>971</v>
      </c>
      <c r="D5" s="7"/>
      <c r="E5" s="7" t="s">
        <v>6</v>
      </c>
      <c r="F5" s="8">
        <f>AVERAGE(A3:A54)</f>
        <v>581.69230769230774</v>
      </c>
      <c r="G5" s="7"/>
      <c r="H5" s="7" t="s">
        <v>7</v>
      </c>
      <c r="I5" s="8">
        <f>MIN(A3:A54)</f>
        <v>222</v>
      </c>
      <c r="J5" s="7"/>
      <c r="K5" s="7" t="s">
        <v>8</v>
      </c>
      <c r="L5" s="8">
        <f>STDEV(A3:A54)</f>
        <v>195.00382484549897</v>
      </c>
    </row>
    <row r="6" spans="1:12" ht="15.75" x14ac:dyDescent="0.25">
      <c r="A6" s="11">
        <v>446</v>
      </c>
      <c r="B6" s="11">
        <v>444</v>
      </c>
      <c r="C6" s="11">
        <v>553</v>
      </c>
      <c r="D6" s="7"/>
      <c r="E6" s="7" t="s">
        <v>9</v>
      </c>
      <c r="F6" s="9">
        <f>MEDIAN(A3:A54)</f>
        <v>584</v>
      </c>
      <c r="G6" s="7"/>
      <c r="H6" s="7" t="s">
        <v>10</v>
      </c>
      <c r="I6" s="9">
        <f>MAX(A3:A54)</f>
        <v>1039</v>
      </c>
      <c r="J6" s="7"/>
      <c r="K6" s="7" t="s">
        <v>11</v>
      </c>
      <c r="L6" s="9">
        <f>VAR(A3:A54)</f>
        <v>38026.491704374042</v>
      </c>
    </row>
    <row r="7" spans="1:12" ht="15.75" x14ac:dyDescent="0.25">
      <c r="A7" s="11">
        <v>350</v>
      </c>
      <c r="B7" s="11">
        <v>357</v>
      </c>
      <c r="C7" s="11">
        <v>343</v>
      </c>
      <c r="D7" s="7"/>
      <c r="E7" s="7"/>
      <c r="F7" s="7"/>
      <c r="G7" s="7"/>
      <c r="H7" s="7" t="s">
        <v>12</v>
      </c>
      <c r="I7" s="9">
        <f>I6-I5</f>
        <v>817</v>
      </c>
      <c r="J7" s="7"/>
      <c r="K7" s="7"/>
      <c r="L7" s="7"/>
    </row>
    <row r="8" spans="1:12" ht="15.75" x14ac:dyDescent="0.25">
      <c r="A8" s="11">
        <v>398</v>
      </c>
      <c r="B8" s="11">
        <v>513</v>
      </c>
      <c r="C8" s="11">
        <v>502</v>
      </c>
      <c r="D8" s="7"/>
      <c r="E8" s="7"/>
      <c r="F8" s="7"/>
      <c r="G8" s="7"/>
      <c r="H8" s="7"/>
      <c r="I8" s="7"/>
      <c r="J8" s="7"/>
      <c r="K8" s="7"/>
      <c r="L8" s="7"/>
    </row>
    <row r="9" spans="1:12" ht="15.75" x14ac:dyDescent="0.25">
      <c r="A9" s="11">
        <v>776</v>
      </c>
      <c r="B9" s="11">
        <v>987</v>
      </c>
      <c r="C9" s="11">
        <v>928</v>
      </c>
      <c r="D9" s="7"/>
      <c r="E9" s="7" t="s">
        <v>13</v>
      </c>
      <c r="F9" s="7"/>
      <c r="G9" s="7"/>
      <c r="H9" s="7"/>
      <c r="I9" s="7"/>
      <c r="J9" s="7"/>
      <c r="K9" s="7"/>
      <c r="L9" s="7"/>
    </row>
    <row r="10" spans="1:12" ht="15.75" x14ac:dyDescent="0.25">
      <c r="A10" s="11">
        <v>772</v>
      </c>
      <c r="B10" s="11">
        <v>718</v>
      </c>
      <c r="C10" s="11">
        <v>1005</v>
      </c>
      <c r="D10" s="7"/>
      <c r="E10" s="7" t="s">
        <v>6</v>
      </c>
      <c r="F10" s="8">
        <f>AVERAGE(B3:B54)</f>
        <v>508.01923076923077</v>
      </c>
      <c r="G10" s="7"/>
      <c r="H10" s="7" t="s">
        <v>7</v>
      </c>
      <c r="I10" s="8">
        <f>MIN(B3:B54)</f>
        <v>181</v>
      </c>
      <c r="J10" s="7"/>
      <c r="K10" s="7" t="s">
        <v>8</v>
      </c>
      <c r="L10" s="8">
        <f>STDEV(B3:B54)</f>
        <v>244.85493827855845</v>
      </c>
    </row>
    <row r="11" spans="1:12" ht="15.75" x14ac:dyDescent="0.25">
      <c r="A11" s="11">
        <v>867</v>
      </c>
      <c r="B11" s="11">
        <v>505</v>
      </c>
      <c r="C11" s="11">
        <v>993</v>
      </c>
      <c r="D11" s="7"/>
      <c r="E11" s="7" t="s">
        <v>9</v>
      </c>
      <c r="F11" s="9">
        <f>MEDIAN(B3:B54)</f>
        <v>449</v>
      </c>
      <c r="G11" s="7"/>
      <c r="H11" s="7" t="s">
        <v>10</v>
      </c>
      <c r="I11" s="9">
        <f>MAX(B3:B54)</f>
        <v>1057</v>
      </c>
      <c r="J11" s="7"/>
      <c r="K11" s="7" t="s">
        <v>11</v>
      </c>
      <c r="L11" s="9">
        <f>VAR(B3:B54)</f>
        <v>59953.940799396667</v>
      </c>
    </row>
    <row r="12" spans="1:12" ht="15.75" x14ac:dyDescent="0.25">
      <c r="A12" s="11">
        <v>476</v>
      </c>
      <c r="B12" s="11">
        <v>487</v>
      </c>
      <c r="C12" s="11">
        <v>408</v>
      </c>
      <c r="D12" s="7"/>
      <c r="E12" s="7"/>
      <c r="F12" s="7"/>
      <c r="G12" s="7"/>
      <c r="H12" s="7" t="s">
        <v>12</v>
      </c>
      <c r="I12" s="9">
        <f>I11-I10</f>
        <v>876</v>
      </c>
      <c r="J12" s="7"/>
      <c r="K12" s="7"/>
      <c r="L12" s="7"/>
    </row>
    <row r="13" spans="1:12" ht="15.75" x14ac:dyDescent="0.25">
      <c r="A13" s="11">
        <v>758</v>
      </c>
      <c r="B13" s="11">
        <v>454</v>
      </c>
      <c r="C13" s="11">
        <v>725</v>
      </c>
      <c r="D13" s="7"/>
      <c r="E13" s="7"/>
      <c r="F13" s="7"/>
      <c r="G13" s="7"/>
      <c r="H13" s="7"/>
      <c r="I13" s="7"/>
      <c r="J13" s="7"/>
      <c r="K13" s="7"/>
      <c r="L13" s="7"/>
    </row>
    <row r="14" spans="1:12" ht="15.75" x14ac:dyDescent="0.25">
      <c r="A14" s="11">
        <v>597</v>
      </c>
      <c r="B14" s="11">
        <v>547</v>
      </c>
      <c r="C14" s="11">
        <v>763</v>
      </c>
      <c r="D14" s="7"/>
      <c r="E14" s="7" t="s">
        <v>14</v>
      </c>
      <c r="F14" s="7"/>
      <c r="G14" s="7"/>
      <c r="H14" s="7"/>
      <c r="I14" s="7"/>
      <c r="J14" s="7"/>
      <c r="K14" s="7"/>
      <c r="L14" s="7"/>
    </row>
    <row r="15" spans="1:12" ht="15.75" x14ac:dyDescent="0.25">
      <c r="A15" s="11">
        <v>468</v>
      </c>
      <c r="B15" s="11">
        <v>562</v>
      </c>
      <c r="C15" s="11"/>
      <c r="D15" s="7"/>
      <c r="E15" s="7" t="s">
        <v>6</v>
      </c>
      <c r="F15" s="8">
        <f>AVERAGE(C3:C14)</f>
        <v>743.75</v>
      </c>
      <c r="G15" s="7"/>
      <c r="H15" s="7" t="s">
        <v>7</v>
      </c>
      <c r="I15" s="8">
        <f>MIN(C3:C14)</f>
        <v>343</v>
      </c>
      <c r="J15" s="7"/>
      <c r="K15" s="7" t="s">
        <v>8</v>
      </c>
      <c r="L15" s="8">
        <f>STDEV(C3:C14)</f>
        <v>259.76147275389536</v>
      </c>
    </row>
    <row r="16" spans="1:12" ht="15.75" x14ac:dyDescent="0.25">
      <c r="A16" s="11">
        <v>321</v>
      </c>
      <c r="B16" s="11">
        <v>586</v>
      </c>
      <c r="C16" s="11"/>
      <c r="D16" s="7"/>
      <c r="E16" s="7" t="s">
        <v>9</v>
      </c>
      <c r="F16" s="9">
        <f>MEDIAN(C3:C14)</f>
        <v>744</v>
      </c>
      <c r="G16" s="7"/>
      <c r="H16" s="7" t="s">
        <v>10</v>
      </c>
      <c r="I16" s="9">
        <f>MAX(C3:C14)</f>
        <v>1119</v>
      </c>
      <c r="J16" s="7"/>
      <c r="K16" s="7" t="s">
        <v>11</v>
      </c>
      <c r="L16" s="9">
        <f>VAR(C3:C14)</f>
        <v>67476.022727272721</v>
      </c>
    </row>
    <row r="17" spans="1:12" ht="15.75" x14ac:dyDescent="0.25">
      <c r="A17" s="11">
        <v>546</v>
      </c>
      <c r="B17" s="11">
        <v>694</v>
      </c>
      <c r="C17" s="11"/>
      <c r="D17" s="7"/>
      <c r="E17" s="7"/>
      <c r="F17" s="7"/>
      <c r="G17" s="7"/>
      <c r="H17" s="7" t="s">
        <v>12</v>
      </c>
      <c r="I17" s="9">
        <f>I16-I15</f>
        <v>776</v>
      </c>
      <c r="J17" s="7"/>
      <c r="K17" s="7"/>
      <c r="L17" s="7"/>
    </row>
    <row r="18" spans="1:12" ht="15.75" x14ac:dyDescent="0.25">
      <c r="A18" s="11">
        <v>733</v>
      </c>
      <c r="B18" s="11">
        <v>402</v>
      </c>
      <c r="C18" s="11"/>
      <c r="D18" s="7"/>
      <c r="E18" s="7"/>
      <c r="F18" s="7"/>
      <c r="G18" s="7"/>
      <c r="H18" s="7"/>
      <c r="I18" s="7"/>
      <c r="J18" s="7"/>
      <c r="K18" s="7"/>
      <c r="L18" s="7"/>
    </row>
    <row r="19" spans="1:12" ht="15" customHeight="1" x14ac:dyDescent="0.25">
      <c r="A19" s="11">
        <v>785</v>
      </c>
      <c r="B19" s="11">
        <v>569</v>
      </c>
      <c r="C19" s="11"/>
      <c r="D19" s="7"/>
      <c r="E19" s="7"/>
      <c r="F19" s="7"/>
      <c r="G19" s="7"/>
      <c r="H19" s="7"/>
      <c r="I19" s="7"/>
      <c r="J19" s="7"/>
      <c r="K19" s="7"/>
      <c r="L19" s="7"/>
    </row>
    <row r="20" spans="1:12" ht="15.75" x14ac:dyDescent="0.25">
      <c r="A20" s="11">
        <v>662</v>
      </c>
      <c r="B20" s="11">
        <v>275</v>
      </c>
      <c r="C20" s="11"/>
      <c r="D20" s="7"/>
      <c r="E20" s="6" t="s">
        <v>15</v>
      </c>
      <c r="F20" s="6"/>
      <c r="G20" s="6"/>
      <c r="H20" s="6"/>
      <c r="I20" s="6"/>
      <c r="J20" s="6"/>
      <c r="K20" s="6"/>
      <c r="L20" s="6"/>
    </row>
    <row r="21" spans="1:12" ht="15.75" x14ac:dyDescent="0.25">
      <c r="A21" s="11">
        <v>427</v>
      </c>
      <c r="B21" s="11">
        <v>181</v>
      </c>
      <c r="C21" s="11"/>
      <c r="D21" s="7"/>
      <c r="E21" s="7"/>
      <c r="F21" s="7"/>
      <c r="G21" s="7"/>
      <c r="H21" s="7"/>
      <c r="I21" s="7"/>
      <c r="J21" s="7"/>
      <c r="K21" s="7"/>
      <c r="L21" s="7"/>
    </row>
    <row r="22" spans="1:12" ht="15.75" x14ac:dyDescent="0.25">
      <c r="A22" s="11">
        <v>222</v>
      </c>
      <c r="B22" s="11">
        <v>201</v>
      </c>
      <c r="C22" s="11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x14ac:dyDescent="0.25">
      <c r="A23" s="11">
        <v>394</v>
      </c>
      <c r="B23" s="11">
        <v>231</v>
      </c>
      <c r="C23" s="11"/>
      <c r="D23" s="7"/>
      <c r="F23" s="7"/>
      <c r="G23" s="7"/>
      <c r="H23" s="7"/>
      <c r="I23" s="7"/>
      <c r="J23" s="7"/>
      <c r="K23" s="7"/>
      <c r="L23" s="7"/>
    </row>
    <row r="24" spans="1:12" ht="15.75" x14ac:dyDescent="0.25">
      <c r="A24" s="11">
        <v>914</v>
      </c>
      <c r="B24" s="11">
        <v>399</v>
      </c>
      <c r="C24" s="11"/>
      <c r="D24" s="7"/>
      <c r="F24" s="7"/>
      <c r="G24" s="7"/>
      <c r="H24" s="7"/>
      <c r="I24" s="7"/>
      <c r="J24" s="7"/>
      <c r="K24" s="7"/>
      <c r="L24" s="7"/>
    </row>
    <row r="25" spans="1:12" ht="15.75" x14ac:dyDescent="0.25">
      <c r="A25" s="11">
        <v>631</v>
      </c>
      <c r="B25" s="11">
        <v>310</v>
      </c>
      <c r="C25" s="11"/>
      <c r="D25" s="7"/>
      <c r="F25" s="7"/>
      <c r="G25" s="7"/>
      <c r="H25" s="7"/>
      <c r="I25" s="7"/>
      <c r="J25" s="7"/>
      <c r="K25" s="7"/>
      <c r="L25" s="7"/>
    </row>
    <row r="26" spans="1:12" ht="15.75" x14ac:dyDescent="0.25">
      <c r="A26" s="11">
        <v>684</v>
      </c>
      <c r="B26" s="11">
        <v>489</v>
      </c>
      <c r="C26" s="11"/>
      <c r="D26" s="7"/>
      <c r="F26" s="7"/>
      <c r="G26" s="7"/>
      <c r="H26" s="7"/>
      <c r="I26" s="7"/>
      <c r="J26" s="7"/>
      <c r="K26" s="7"/>
      <c r="L26" s="7"/>
    </row>
    <row r="27" spans="1:12" ht="15.75" x14ac:dyDescent="0.25">
      <c r="A27" s="11">
        <v>685</v>
      </c>
      <c r="B27" s="11">
        <v>229</v>
      </c>
      <c r="C27" s="11"/>
      <c r="D27" s="7"/>
      <c r="F27" s="7"/>
      <c r="G27" s="7"/>
      <c r="H27" s="7"/>
      <c r="I27" s="7"/>
      <c r="J27" s="7"/>
      <c r="K27" s="7"/>
      <c r="L27" s="7"/>
    </row>
    <row r="28" spans="1:12" ht="15.75" x14ac:dyDescent="0.25">
      <c r="A28" s="11">
        <v>546</v>
      </c>
      <c r="B28" s="11">
        <v>341</v>
      </c>
      <c r="C28" s="11"/>
      <c r="D28" s="7"/>
      <c r="F28" s="7"/>
      <c r="G28" s="7"/>
      <c r="H28" s="7"/>
      <c r="I28" s="7"/>
      <c r="J28" s="7"/>
      <c r="K28" s="7"/>
      <c r="L28" s="7"/>
    </row>
    <row r="29" spans="1:12" ht="15.75" x14ac:dyDescent="0.25">
      <c r="A29" s="11">
        <v>602</v>
      </c>
      <c r="B29" s="11">
        <v>267</v>
      </c>
      <c r="C29" s="11"/>
      <c r="D29" s="7"/>
      <c r="F29" s="7"/>
      <c r="G29" s="7"/>
      <c r="H29" s="7"/>
      <c r="I29" s="7"/>
      <c r="J29" s="7"/>
      <c r="K29" s="7"/>
      <c r="L29" s="7"/>
    </row>
    <row r="30" spans="1:12" ht="15.75" x14ac:dyDescent="0.25">
      <c r="A30" s="11">
        <v>492</v>
      </c>
      <c r="B30" s="11">
        <v>308</v>
      </c>
      <c r="C30" s="11"/>
      <c r="D30" s="7"/>
      <c r="F30" s="7"/>
      <c r="G30" s="7"/>
      <c r="H30" s="7"/>
      <c r="I30" s="7"/>
      <c r="J30" s="7"/>
      <c r="K30" s="7"/>
      <c r="L30" s="7"/>
    </row>
    <row r="31" spans="1:12" ht="15.75" x14ac:dyDescent="0.25">
      <c r="A31" s="11">
        <v>388</v>
      </c>
      <c r="B31" s="11">
        <v>266</v>
      </c>
      <c r="C31" s="11"/>
      <c r="D31" s="7"/>
      <c r="F31" s="7"/>
      <c r="G31" s="7"/>
      <c r="H31" s="7"/>
      <c r="I31" s="7"/>
      <c r="J31" s="7"/>
      <c r="K31" s="7"/>
      <c r="L31" s="7"/>
    </row>
    <row r="32" spans="1:12" ht="15.75" x14ac:dyDescent="0.25">
      <c r="A32" s="11">
        <v>765</v>
      </c>
      <c r="B32" s="11">
        <v>240</v>
      </c>
      <c r="C32" s="11"/>
      <c r="D32" s="7"/>
      <c r="F32" s="7"/>
      <c r="G32" s="7"/>
      <c r="H32" s="7"/>
      <c r="I32" s="7"/>
      <c r="J32" s="7"/>
      <c r="K32" s="7"/>
      <c r="L32" s="7"/>
    </row>
    <row r="33" spans="1:12" ht="15" customHeight="1" x14ac:dyDescent="0.25">
      <c r="A33" s="11">
        <v>586</v>
      </c>
      <c r="B33" s="11">
        <v>289</v>
      </c>
      <c r="C33" s="11"/>
      <c r="D33" s="7"/>
      <c r="F33" s="7"/>
      <c r="G33" s="7"/>
      <c r="H33" s="7"/>
      <c r="I33" s="7"/>
      <c r="J33" s="7"/>
      <c r="K33" s="7"/>
      <c r="L33" s="7"/>
    </row>
    <row r="34" spans="1:12" ht="15.75" x14ac:dyDescent="0.25">
      <c r="A34" s="11">
        <v>629</v>
      </c>
      <c r="B34" s="11">
        <v>343</v>
      </c>
      <c r="C34" s="11"/>
      <c r="D34" s="7"/>
      <c r="E34" s="7"/>
      <c r="F34" s="7"/>
      <c r="G34" s="7"/>
      <c r="H34" s="7"/>
      <c r="I34" s="7"/>
      <c r="J34" s="7"/>
      <c r="K34" s="7"/>
      <c r="L34" s="7"/>
    </row>
    <row r="35" spans="1:12" ht="15.75" x14ac:dyDescent="0.25">
      <c r="A35" s="11">
        <v>945</v>
      </c>
      <c r="B35" s="11">
        <v>370</v>
      </c>
      <c r="C35" s="11"/>
      <c r="D35" s="7"/>
      <c r="E35" s="7"/>
      <c r="F35" s="7"/>
      <c r="G35" s="7"/>
      <c r="H35" s="7"/>
      <c r="I35" s="7"/>
      <c r="J35" s="7"/>
      <c r="K35" s="7"/>
      <c r="L35" s="7"/>
    </row>
    <row r="36" spans="1:12" ht="15.75" x14ac:dyDescent="0.25">
      <c r="A36" s="11">
        <v>631</v>
      </c>
      <c r="B36" s="11">
        <v>329</v>
      </c>
      <c r="C36" s="11"/>
      <c r="D36" s="7"/>
      <c r="E36" s="7"/>
      <c r="F36" s="7"/>
      <c r="G36" s="7"/>
      <c r="H36" s="7"/>
      <c r="I36" s="7"/>
      <c r="J36" s="7"/>
      <c r="K36" s="7"/>
      <c r="L36" s="7"/>
    </row>
    <row r="37" spans="1:12" ht="15.75" x14ac:dyDescent="0.25">
      <c r="A37" s="11">
        <v>460</v>
      </c>
      <c r="B37" s="11">
        <v>320</v>
      </c>
      <c r="C37" s="11"/>
      <c r="D37" s="7"/>
      <c r="E37" s="7"/>
      <c r="F37" s="7"/>
      <c r="G37" s="7"/>
      <c r="H37" s="7"/>
      <c r="I37" s="7"/>
      <c r="J37" s="7"/>
      <c r="K37" s="7"/>
      <c r="L37" s="7"/>
    </row>
    <row r="38" spans="1:12" ht="15.75" x14ac:dyDescent="0.25">
      <c r="A38" s="11">
        <v>556</v>
      </c>
      <c r="B38" s="11">
        <v>298</v>
      </c>
      <c r="C38" s="11"/>
      <c r="D38" s="7"/>
      <c r="E38" s="7"/>
      <c r="F38" s="7"/>
      <c r="G38" s="7"/>
      <c r="H38" s="7"/>
      <c r="I38" s="7"/>
      <c r="J38" s="7"/>
      <c r="K38" s="7"/>
      <c r="L38" s="7"/>
    </row>
    <row r="39" spans="1:12" ht="15.75" x14ac:dyDescent="0.25">
      <c r="A39" s="11">
        <v>644</v>
      </c>
      <c r="B39" s="11">
        <v>357</v>
      </c>
      <c r="C39" s="11"/>
      <c r="D39" s="7"/>
      <c r="E39" s="7"/>
      <c r="F39" s="7"/>
      <c r="G39" s="7"/>
      <c r="H39" s="7"/>
      <c r="I39" s="7"/>
      <c r="J39" s="7"/>
      <c r="K39" s="7"/>
      <c r="L39" s="7"/>
    </row>
    <row r="40" spans="1:12" ht="15.75" x14ac:dyDescent="0.25">
      <c r="A40" s="11">
        <v>795</v>
      </c>
      <c r="B40" s="11">
        <v>325</v>
      </c>
      <c r="C40" s="11"/>
      <c r="D40" s="7"/>
      <c r="E40" s="7"/>
      <c r="F40" s="7"/>
      <c r="G40" s="7"/>
      <c r="H40" s="7"/>
      <c r="I40" s="7"/>
      <c r="J40" s="7"/>
      <c r="K40" s="7"/>
      <c r="L40" s="7"/>
    </row>
    <row r="41" spans="1:12" ht="15.75" x14ac:dyDescent="0.25">
      <c r="A41" s="11">
        <v>265</v>
      </c>
      <c r="B41" s="11">
        <v>317</v>
      </c>
      <c r="C41" s="11"/>
      <c r="D41" s="7"/>
      <c r="E41" s="7"/>
      <c r="F41" s="7"/>
      <c r="G41" s="7"/>
      <c r="H41" s="7"/>
      <c r="I41" s="7"/>
      <c r="J41" s="7"/>
      <c r="K41" s="7"/>
      <c r="L41" s="7"/>
    </row>
    <row r="42" spans="1:12" ht="15.75" x14ac:dyDescent="0.25">
      <c r="A42" s="11">
        <v>416</v>
      </c>
      <c r="B42" s="11">
        <v>333</v>
      </c>
      <c r="C42" s="11"/>
      <c r="D42" s="7"/>
      <c r="E42" s="7"/>
      <c r="F42" s="7"/>
      <c r="G42" s="7"/>
      <c r="H42" s="7"/>
      <c r="I42" s="7"/>
      <c r="J42" s="7"/>
      <c r="K42" s="7"/>
      <c r="L42" s="7"/>
    </row>
    <row r="43" spans="1:12" ht="15.75" x14ac:dyDescent="0.25">
      <c r="A43" s="11">
        <v>516</v>
      </c>
      <c r="B43" s="11">
        <v>320</v>
      </c>
      <c r="C43" s="11"/>
      <c r="D43" s="7"/>
      <c r="E43" s="7"/>
      <c r="F43" s="7"/>
      <c r="G43" s="7"/>
      <c r="H43" s="7"/>
      <c r="I43" s="7"/>
      <c r="J43" s="7"/>
      <c r="K43" s="7"/>
      <c r="L43" s="7"/>
    </row>
    <row r="44" spans="1:12" ht="15.75" x14ac:dyDescent="0.25">
      <c r="A44" s="11">
        <v>662</v>
      </c>
      <c r="B44" s="11">
        <v>576</v>
      </c>
      <c r="C44" s="11"/>
      <c r="D44" s="7"/>
      <c r="E44" s="7"/>
      <c r="F44" s="7"/>
      <c r="G44" s="7"/>
      <c r="H44" s="7"/>
      <c r="I44" s="7"/>
      <c r="J44" s="7"/>
      <c r="K44" s="7"/>
      <c r="L44" s="7"/>
    </row>
    <row r="45" spans="1:12" ht="15.75" x14ac:dyDescent="0.25">
      <c r="A45" s="11">
        <v>754</v>
      </c>
      <c r="B45" s="11">
        <v>890</v>
      </c>
      <c r="C45" s="11"/>
      <c r="D45" s="7"/>
      <c r="E45" s="7"/>
      <c r="F45" s="7"/>
      <c r="G45" s="7"/>
      <c r="H45" s="7"/>
      <c r="I45" s="7"/>
      <c r="J45" s="7"/>
      <c r="K45" s="7"/>
      <c r="L45" s="7"/>
    </row>
    <row r="46" spans="1:12" ht="15.75" x14ac:dyDescent="0.25">
      <c r="A46" s="11">
        <v>863</v>
      </c>
      <c r="B46" s="11">
        <v>952</v>
      </c>
      <c r="C46" s="11"/>
      <c r="D46" s="7"/>
      <c r="E46" s="7"/>
      <c r="F46" s="7"/>
      <c r="G46" s="7"/>
      <c r="H46" s="7"/>
      <c r="I46" s="7"/>
      <c r="J46" s="7"/>
      <c r="K46" s="7"/>
      <c r="L46" s="7"/>
    </row>
    <row r="47" spans="1:12" ht="15.75" x14ac:dyDescent="0.25">
      <c r="A47" s="11">
        <v>276</v>
      </c>
      <c r="B47" s="11">
        <v>647</v>
      </c>
      <c r="C47" s="11"/>
      <c r="D47" s="7"/>
      <c r="E47" s="7"/>
      <c r="F47" s="7"/>
      <c r="G47" s="7"/>
      <c r="H47" s="7"/>
      <c r="I47" s="7"/>
      <c r="J47" s="7"/>
      <c r="K47" s="7"/>
      <c r="L47" s="7"/>
    </row>
    <row r="48" spans="1:12" ht="15.75" x14ac:dyDescent="0.25">
      <c r="A48" s="11">
        <v>582</v>
      </c>
      <c r="B48" s="11">
        <v>718</v>
      </c>
      <c r="C48" s="11"/>
      <c r="D48" s="7"/>
      <c r="E48" s="7"/>
      <c r="F48" s="7"/>
      <c r="G48" s="7"/>
      <c r="H48" s="7"/>
      <c r="I48" s="7"/>
      <c r="J48" s="7"/>
      <c r="K48" s="7"/>
      <c r="L48" s="7"/>
    </row>
    <row r="49" spans="1:12" ht="15.75" x14ac:dyDescent="0.25">
      <c r="A49" s="11">
        <v>446</v>
      </c>
      <c r="B49" s="11">
        <v>890</v>
      </c>
      <c r="C49" s="11"/>
      <c r="D49" s="7"/>
      <c r="E49" s="7"/>
      <c r="F49" s="7"/>
      <c r="G49" s="7"/>
      <c r="H49" s="7"/>
      <c r="I49" s="7"/>
      <c r="J49" s="7"/>
      <c r="K49" s="7"/>
      <c r="L49" s="7"/>
    </row>
    <row r="50" spans="1:12" ht="15.75" x14ac:dyDescent="0.25">
      <c r="A50" s="11">
        <v>605</v>
      </c>
      <c r="B50" s="11">
        <v>970</v>
      </c>
      <c r="C50" s="11"/>
      <c r="D50" s="7"/>
      <c r="E50" s="7"/>
      <c r="F50" s="7"/>
      <c r="G50" s="7"/>
      <c r="H50" s="7"/>
      <c r="I50" s="7"/>
      <c r="J50" s="7"/>
      <c r="K50" s="7"/>
      <c r="L50" s="7"/>
    </row>
    <row r="51" spans="1:12" ht="15.75" x14ac:dyDescent="0.25">
      <c r="A51" s="11">
        <v>330</v>
      </c>
      <c r="B51" s="11">
        <v>1032</v>
      </c>
      <c r="C51" s="11"/>
      <c r="D51" s="7"/>
      <c r="E51" s="7"/>
      <c r="F51" s="7"/>
      <c r="G51" s="7"/>
      <c r="H51" s="7"/>
      <c r="I51" s="7"/>
      <c r="J51" s="7"/>
      <c r="K51" s="7"/>
      <c r="L51" s="7"/>
    </row>
    <row r="52" spans="1:12" ht="15.75" x14ac:dyDescent="0.25">
      <c r="A52" s="11">
        <v>429</v>
      </c>
      <c r="B52" s="11">
        <v>927</v>
      </c>
      <c r="C52" s="11"/>
      <c r="D52" s="7"/>
      <c r="E52" s="7"/>
      <c r="F52" s="7"/>
      <c r="G52" s="7"/>
      <c r="H52" s="7"/>
      <c r="I52" s="7"/>
      <c r="J52" s="7"/>
      <c r="K52" s="7"/>
      <c r="L52" s="7"/>
    </row>
    <row r="53" spans="1:12" ht="15.75" x14ac:dyDescent="0.25">
      <c r="A53" s="11">
        <v>390</v>
      </c>
      <c r="B53" s="11">
        <v>1057</v>
      </c>
      <c r="C53" s="11"/>
      <c r="D53" s="7"/>
      <c r="E53" s="7"/>
      <c r="F53" s="7"/>
      <c r="G53" s="7"/>
      <c r="H53" s="7"/>
      <c r="I53" s="7"/>
      <c r="J53" s="7"/>
      <c r="K53" s="7"/>
      <c r="L53" s="7"/>
    </row>
    <row r="54" spans="1:12" ht="15.75" x14ac:dyDescent="0.25">
      <c r="A54" s="11">
        <v>309</v>
      </c>
      <c r="B54" s="11">
        <v>664</v>
      </c>
      <c r="C54" s="11"/>
      <c r="D54" s="7"/>
      <c r="E54" s="7"/>
      <c r="F54" s="7"/>
      <c r="G54" s="7"/>
      <c r="H54" s="7"/>
      <c r="I54" s="7"/>
      <c r="J54" s="7"/>
      <c r="K54" s="7"/>
      <c r="L54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CEB0C6-B3ED-49E7-863D-DCF01490AA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70598-80c1-4ed7-a5cf-d50e51ea1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A5B35B-DFAE-4FC1-A7C8-F57EFD85BC6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5DB50E-E8FF-4A2C-B18C-A5F4B34089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Sheet6</vt:lpstr>
      <vt:lpstr>Festival Expenditure</vt:lpstr>
      <vt:lpstr>Festival Expenditure 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Sharan Singh</dc:creator>
  <cp:keywords/>
  <dc:description/>
  <cp:lastModifiedBy>Gielo Joseph Fernandez</cp:lastModifiedBy>
  <cp:revision/>
  <dcterms:created xsi:type="dcterms:W3CDTF">2025-02-15T23:28:16Z</dcterms:created>
  <dcterms:modified xsi:type="dcterms:W3CDTF">2025-02-18T22:31:25Z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  <property fmtid="{D5CDD505-2E9C-101B-9397-08002B2CF9AE}" pid="3" name="MediaServiceImageTags">
    <vt:lpwstr/>
  </property>
</Properties>
</file>