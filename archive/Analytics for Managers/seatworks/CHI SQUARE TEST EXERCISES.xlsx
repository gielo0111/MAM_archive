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elofernandez/Desktop/trash/Class/MAM_repo/Analytics for Managers/seatworks/"/>
    </mc:Choice>
  </mc:AlternateContent>
  <xr:revisionPtr revIDLastSave="0" documentId="13_ncr:1_{ED00C906-A064-6848-899A-7AC9EB344219}" xr6:coauthVersionLast="47" xr6:coauthVersionMax="47" xr10:uidLastSave="{00000000-0000-0000-0000-000000000000}"/>
  <bookViews>
    <workbookView xWindow="0" yWindow="500" windowWidth="27320" windowHeight="13560" activeTab="1" xr2:uid="{00000000-000D-0000-FFFF-FFFF00000000}"/>
  </bookViews>
  <sheets>
    <sheet name="Exercise 1" sheetId="4" r:id="rId1"/>
    <sheet name="Exercise 2" sheetId="5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5" l="1"/>
  <c r="J63" i="5"/>
  <c r="I63" i="5"/>
  <c r="K62" i="5"/>
  <c r="K61" i="5"/>
  <c r="K60" i="5"/>
  <c r="Q18" i="5"/>
  <c r="M17" i="5"/>
  <c r="E20" i="5"/>
  <c r="F16" i="4" l="1"/>
  <c r="F15" i="4"/>
  <c r="F14" i="4"/>
  <c r="D5" i="4" l="1"/>
  <c r="D4" i="4"/>
  <c r="B6" i="4"/>
  <c r="C6" i="4"/>
  <c r="H31" i="5"/>
  <c r="Q17" i="5"/>
  <c r="N21" i="5"/>
  <c r="N20" i="5"/>
  <c r="N19" i="5"/>
  <c r="N18" i="5"/>
  <c r="N17" i="5"/>
  <c r="M21" i="5"/>
  <c r="M20" i="5"/>
  <c r="M19" i="5"/>
  <c r="M18" i="5"/>
  <c r="D6" i="4" l="1"/>
  <c r="F5" i="4" s="1"/>
  <c r="G4" i="4" l="1"/>
  <c r="G5" i="4"/>
  <c r="F4" i="4"/>
  <c r="I6" i="4" l="1"/>
  <c r="I7" i="4" s="1"/>
</calcChain>
</file>

<file path=xl/sharedStrings.xml><?xml version="1.0" encoding="utf-8"?>
<sst xmlns="http://schemas.openxmlformats.org/spreadsheetml/2006/main" count="177" uniqueCount="30">
  <si>
    <t>Is there a relationship between gender and smoking status</t>
  </si>
  <si>
    <t>observed values</t>
  </si>
  <si>
    <t>Smokers</t>
  </si>
  <si>
    <t>Non-smokers</t>
  </si>
  <si>
    <t>TOTAL</t>
  </si>
  <si>
    <t>Male</t>
  </si>
  <si>
    <t>Female</t>
  </si>
  <si>
    <t>Is there an association between gender and movie type?</t>
  </si>
  <si>
    <t>Movie Type</t>
  </si>
  <si>
    <t>Gender</t>
  </si>
  <si>
    <t xml:space="preserve">horror </t>
  </si>
  <si>
    <t>female</t>
  </si>
  <si>
    <t>adventure</t>
  </si>
  <si>
    <t>sci-fi</t>
  </si>
  <si>
    <t>comedy</t>
  </si>
  <si>
    <t>male</t>
  </si>
  <si>
    <t>Grand Total</t>
  </si>
  <si>
    <t>Count of Movie Type</t>
  </si>
  <si>
    <t>Genres</t>
  </si>
  <si>
    <t>There is a significant difference when the chi square is less than 0.05</t>
  </si>
  <si>
    <t>If it is more than 0.05, it is happening by chance</t>
  </si>
  <si>
    <t>current employee yes</t>
  </si>
  <si>
    <t>No</t>
  </si>
  <si>
    <t>CHI SQUARE TEST</t>
  </si>
  <si>
    <t>Observed</t>
  </si>
  <si>
    <t>Voluntary Resignation</t>
  </si>
  <si>
    <t>Sales</t>
  </si>
  <si>
    <t>R n D</t>
  </si>
  <si>
    <t>Human Resources</t>
  </si>
  <si>
    <t>Current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</si>
</sst>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11" xfId="0" applyBorder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2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elo Joseph Fernandez" refreshedDate="45723.367735532411" createdVersion="8" refreshedVersion="8" minRefreshableVersion="3" recordCount="54" xr:uid="{5A1EFAB8-A860-4BB1-AB4B-27510AD187ED}">
  <cacheSource type="worksheet">
    <worksheetSource ref="A3:B57" sheet="Exercise 2"/>
  </cacheSource>
  <cacheFields count="2">
    <cacheField name="Movie Type" numFmtId="0">
      <sharedItems count="4">
        <s v="horror "/>
        <s v="adventure"/>
        <s v="sci-fi"/>
        <s v="comedy"/>
      </sharedItems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</r>
  <r>
    <x v="1"/>
    <x v="0"/>
  </r>
  <r>
    <x v="1"/>
    <x v="0"/>
  </r>
  <r>
    <x v="2"/>
    <x v="0"/>
  </r>
  <r>
    <x v="3"/>
    <x v="1"/>
  </r>
  <r>
    <x v="3"/>
    <x v="0"/>
  </r>
  <r>
    <x v="0"/>
    <x v="0"/>
  </r>
  <r>
    <x v="0"/>
    <x v="0"/>
  </r>
  <r>
    <x v="1"/>
    <x v="1"/>
  </r>
  <r>
    <x v="1"/>
    <x v="1"/>
  </r>
  <r>
    <x v="3"/>
    <x v="1"/>
  </r>
  <r>
    <x v="3"/>
    <x v="0"/>
  </r>
  <r>
    <x v="2"/>
    <x v="0"/>
  </r>
  <r>
    <x v="1"/>
    <x v="1"/>
  </r>
  <r>
    <x v="1"/>
    <x v="1"/>
  </r>
  <r>
    <x v="0"/>
    <x v="1"/>
  </r>
  <r>
    <x v="3"/>
    <x v="1"/>
  </r>
  <r>
    <x v="3"/>
    <x v="1"/>
  </r>
  <r>
    <x v="2"/>
    <x v="0"/>
  </r>
  <r>
    <x v="2"/>
    <x v="0"/>
  </r>
  <r>
    <x v="2"/>
    <x v="0"/>
  </r>
  <r>
    <x v="0"/>
    <x v="0"/>
  </r>
  <r>
    <x v="0"/>
    <x v="1"/>
  </r>
  <r>
    <x v="3"/>
    <x v="1"/>
  </r>
  <r>
    <x v="3"/>
    <x v="0"/>
  </r>
  <r>
    <x v="3"/>
    <x v="1"/>
  </r>
  <r>
    <x v="2"/>
    <x v="0"/>
  </r>
  <r>
    <x v="2"/>
    <x v="1"/>
  </r>
  <r>
    <x v="1"/>
    <x v="1"/>
  </r>
  <r>
    <x v="1"/>
    <x v="0"/>
  </r>
  <r>
    <x v="0"/>
    <x v="1"/>
  </r>
  <r>
    <x v="0"/>
    <x v="1"/>
  </r>
  <r>
    <x v="1"/>
    <x v="1"/>
  </r>
  <r>
    <x v="3"/>
    <x v="1"/>
  </r>
  <r>
    <x v="3"/>
    <x v="0"/>
  </r>
  <r>
    <x v="2"/>
    <x v="0"/>
  </r>
  <r>
    <x v="2"/>
    <x v="0"/>
  </r>
  <r>
    <x v="1"/>
    <x v="1"/>
  </r>
  <r>
    <x v="1"/>
    <x v="1"/>
  </r>
  <r>
    <x v="1"/>
    <x v="1"/>
  </r>
  <r>
    <x v="1"/>
    <x v="1"/>
  </r>
  <r>
    <x v="3"/>
    <x v="1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1"/>
  </r>
  <r>
    <x v="3"/>
    <x v="0"/>
  </r>
  <r>
    <x v="3"/>
    <x v="1"/>
  </r>
  <r>
    <x v="3"/>
    <x v="1"/>
  </r>
  <r>
    <x v="3"/>
    <x v="1"/>
  </r>
  <r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D8E90-303E-442D-AD2D-086BC37A51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s" colHeaderCaption="Gender">
  <location ref="H3:K9" firstHeaderRow="1" firstDataRow="2" firstDataCol="1"/>
  <pivotFields count="2">
    <pivotField axis="axisRow" dataField="1" showAll="0">
      <items count="5">
        <item x="1"/>
        <item x="3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Movie Type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I6" sqref="I6"/>
    </sheetView>
  </sheetViews>
  <sheetFormatPr baseColWidth="10" defaultColWidth="8.83203125" defaultRowHeight="15" x14ac:dyDescent="0.2"/>
  <cols>
    <col min="3" max="3" width="12.83203125" bestFit="1" customWidth="1"/>
    <col min="4" max="4" width="6.33203125" bestFit="1" customWidth="1"/>
  </cols>
  <sheetData>
    <row r="1" spans="1:9" x14ac:dyDescent="0.2">
      <c r="A1" s="4" t="s">
        <v>0</v>
      </c>
    </row>
    <row r="2" spans="1:9" x14ac:dyDescent="0.2">
      <c r="A2" s="9" t="s">
        <v>1</v>
      </c>
      <c r="B2" s="9"/>
    </row>
    <row r="3" spans="1:9" x14ac:dyDescent="0.2">
      <c r="B3" s="7" t="s">
        <v>2</v>
      </c>
      <c r="C3" s="7" t="s">
        <v>3</v>
      </c>
      <c r="D3" s="7" t="s">
        <v>4</v>
      </c>
    </row>
    <row r="4" spans="1:9" x14ac:dyDescent="0.2">
      <c r="A4" s="7" t="s">
        <v>5</v>
      </c>
      <c r="B4" s="8">
        <v>29</v>
      </c>
      <c r="C4" s="8">
        <v>71</v>
      </c>
      <c r="D4" s="8">
        <f>B4+C4</f>
        <v>100</v>
      </c>
      <c r="F4">
        <f>$B$6*$D4/$D$6</f>
        <v>22.5</v>
      </c>
      <c r="G4">
        <f>$C$6*D4/$D$6</f>
        <v>77.5</v>
      </c>
    </row>
    <row r="5" spans="1:9" x14ac:dyDescent="0.2">
      <c r="A5" s="7" t="s">
        <v>6</v>
      </c>
      <c r="B5" s="8">
        <v>16</v>
      </c>
      <c r="C5" s="8">
        <v>84</v>
      </c>
      <c r="D5" s="8">
        <f>B5+C5</f>
        <v>100</v>
      </c>
      <c r="F5">
        <f>$B$6*$D5/$D$6</f>
        <v>22.5</v>
      </c>
      <c r="G5">
        <f>$C$6*D5/$D$6</f>
        <v>77.5</v>
      </c>
    </row>
    <row r="6" spans="1:9" x14ac:dyDescent="0.2">
      <c r="A6" s="7" t="s">
        <v>4</v>
      </c>
      <c r="B6" s="8">
        <f>SUM(B4:B5)</f>
        <v>45</v>
      </c>
      <c r="C6" s="8">
        <f>SUM(C4:C5)</f>
        <v>155</v>
      </c>
      <c r="D6" s="8">
        <f>B6+C6</f>
        <v>200</v>
      </c>
      <c r="I6">
        <f>_xlfn.CHISQ.TEST(B4:C5,F4:G5)</f>
        <v>2.7712279025159794E-2</v>
      </c>
    </row>
    <row r="7" spans="1:9" x14ac:dyDescent="0.2">
      <c r="I7" t="str">
        <f>IF(I6&lt;0.05,"there is significant difference in the data"," there is no significance in the date")</f>
        <v>there is significant difference in the data</v>
      </c>
    </row>
    <row r="9" spans="1:9" x14ac:dyDescent="0.2">
      <c r="A9" s="9"/>
      <c r="B9" s="9"/>
    </row>
    <row r="10" spans="1:9" x14ac:dyDescent="0.2">
      <c r="B10" s="4"/>
      <c r="C10" s="4"/>
      <c r="D10" s="4"/>
    </row>
    <row r="11" spans="1:9" x14ac:dyDescent="0.2">
      <c r="A11" s="4"/>
    </row>
    <row r="12" spans="1:9" x14ac:dyDescent="0.2">
      <c r="A12" s="4"/>
    </row>
    <row r="13" spans="1:9" x14ac:dyDescent="0.2">
      <c r="A13" s="4"/>
      <c r="D13" s="7" t="s">
        <v>2</v>
      </c>
      <c r="E13" s="7" t="s">
        <v>3</v>
      </c>
      <c r="F13" s="7"/>
    </row>
    <row r="14" spans="1:9" x14ac:dyDescent="0.2">
      <c r="C14" s="7" t="s">
        <v>5</v>
      </c>
      <c r="D14" s="8">
        <v>22.5</v>
      </c>
      <c r="E14" s="8">
        <v>77.5</v>
      </c>
      <c r="F14" s="8">
        <f>D14+E14</f>
        <v>100</v>
      </c>
    </row>
    <row r="15" spans="1:9" x14ac:dyDescent="0.2">
      <c r="A15" s="4"/>
      <c r="C15" s="7" t="s">
        <v>6</v>
      </c>
      <c r="D15" s="8">
        <v>22.5</v>
      </c>
      <c r="E15" s="8">
        <v>77.5</v>
      </c>
      <c r="F15" s="8">
        <f>D15+E15</f>
        <v>100</v>
      </c>
    </row>
    <row r="16" spans="1:9" x14ac:dyDescent="0.2">
      <c r="C16" s="7" t="s">
        <v>4</v>
      </c>
      <c r="D16" s="8">
        <v>45</v>
      </c>
      <c r="E16" s="8">
        <v>155</v>
      </c>
      <c r="F16" s="8">
        <f>D16+E16</f>
        <v>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abSelected="1" topLeftCell="A38" zoomScale="99" workbookViewId="0">
      <selection activeCell="K63" sqref="K63"/>
    </sheetView>
  </sheetViews>
  <sheetFormatPr baseColWidth="10" defaultColWidth="8.83203125" defaultRowHeight="15" x14ac:dyDescent="0.2"/>
  <cols>
    <col min="1" max="1" width="13.33203125" customWidth="1"/>
    <col min="2" max="2" width="12.6640625" customWidth="1"/>
    <col min="4" max="4" width="19.5" bestFit="1" customWidth="1"/>
    <col min="5" max="5" width="16.33203125" customWidth="1"/>
    <col min="6" max="6" width="5.5" customWidth="1"/>
    <col min="7" max="7" width="11.1640625" bestFit="1" customWidth="1"/>
    <col min="8" max="8" width="19.5" bestFit="1" customWidth="1"/>
    <col min="9" max="9" width="16.33203125" bestFit="1" customWidth="1"/>
    <col min="10" max="10" width="5.5" bestFit="1" customWidth="1"/>
    <col min="11" max="11" width="11.1640625" bestFit="1" customWidth="1"/>
    <col min="13" max="13" width="11.5" bestFit="1" customWidth="1"/>
    <col min="14" max="14" width="12.5" bestFit="1" customWidth="1"/>
  </cols>
  <sheetData>
    <row r="1" spans="1:17" x14ac:dyDescent="0.2">
      <c r="A1" s="4" t="s">
        <v>7</v>
      </c>
    </row>
    <row r="3" spans="1:17" x14ac:dyDescent="0.2">
      <c r="A3" s="2" t="s">
        <v>8</v>
      </c>
      <c r="B3" s="2" t="s">
        <v>9</v>
      </c>
      <c r="D3" s="4"/>
      <c r="H3" s="16" t="s">
        <v>17</v>
      </c>
      <c r="I3" s="16" t="s">
        <v>9</v>
      </c>
      <c r="J3" s="14"/>
      <c r="K3" s="15"/>
    </row>
    <row r="4" spans="1:17" x14ac:dyDescent="0.2">
      <c r="A4" s="1" t="s">
        <v>10</v>
      </c>
      <c r="B4" s="1" t="s">
        <v>11</v>
      </c>
      <c r="H4" s="16" t="s">
        <v>18</v>
      </c>
      <c r="I4" s="13" t="s">
        <v>11</v>
      </c>
      <c r="J4" s="17" t="s">
        <v>15</v>
      </c>
      <c r="K4" s="18" t="s">
        <v>16</v>
      </c>
    </row>
    <row r="5" spans="1:17" x14ac:dyDescent="0.2">
      <c r="A5" s="1" t="s">
        <v>12</v>
      </c>
      <c r="B5" s="1" t="s">
        <v>11</v>
      </c>
      <c r="H5" s="19" t="s">
        <v>12</v>
      </c>
      <c r="I5" s="13">
        <v>3</v>
      </c>
      <c r="J5" s="17">
        <v>10</v>
      </c>
      <c r="K5" s="18">
        <v>13</v>
      </c>
    </row>
    <row r="6" spans="1:17" x14ac:dyDescent="0.2">
      <c r="A6" s="1" t="s">
        <v>12</v>
      </c>
      <c r="B6" s="1" t="s">
        <v>11</v>
      </c>
      <c r="D6" s="10"/>
      <c r="H6" s="20" t="s">
        <v>14</v>
      </c>
      <c r="I6" s="25">
        <v>7</v>
      </c>
      <c r="J6" s="26">
        <v>17</v>
      </c>
      <c r="K6" s="27">
        <v>24</v>
      </c>
    </row>
    <row r="7" spans="1:17" x14ac:dyDescent="0.2">
      <c r="A7" s="1" t="s">
        <v>13</v>
      </c>
      <c r="B7" s="1" t="s">
        <v>11</v>
      </c>
      <c r="D7" s="10"/>
      <c r="H7" s="20" t="s">
        <v>10</v>
      </c>
      <c r="I7" s="25">
        <v>4</v>
      </c>
      <c r="J7" s="26">
        <v>4</v>
      </c>
      <c r="K7" s="27">
        <v>8</v>
      </c>
    </row>
    <row r="8" spans="1:17" x14ac:dyDescent="0.2">
      <c r="A8" s="1" t="s">
        <v>14</v>
      </c>
      <c r="B8" s="1" t="s">
        <v>15</v>
      </c>
      <c r="D8" s="10"/>
      <c r="H8" s="20" t="s">
        <v>13</v>
      </c>
      <c r="I8" s="25">
        <v>8</v>
      </c>
      <c r="J8" s="26">
        <v>1</v>
      </c>
      <c r="K8" s="27">
        <v>9</v>
      </c>
    </row>
    <row r="9" spans="1:17" x14ac:dyDescent="0.2">
      <c r="A9" s="1" t="s">
        <v>14</v>
      </c>
      <c r="B9" s="1" t="s">
        <v>11</v>
      </c>
      <c r="D9" s="10"/>
      <c r="H9" s="21" t="s">
        <v>16</v>
      </c>
      <c r="I9" s="22">
        <v>22</v>
      </c>
      <c r="J9" s="23">
        <v>32</v>
      </c>
      <c r="K9" s="24">
        <v>54</v>
      </c>
    </row>
    <row r="10" spans="1:17" x14ac:dyDescent="0.2">
      <c r="A10" s="1" t="s">
        <v>10</v>
      </c>
      <c r="B10" s="1" t="s">
        <v>11</v>
      </c>
      <c r="D10" s="10"/>
    </row>
    <row r="11" spans="1:17" x14ac:dyDescent="0.2">
      <c r="A11" s="1" t="s">
        <v>10</v>
      </c>
      <c r="B11" s="1" t="s">
        <v>11</v>
      </c>
    </row>
    <row r="12" spans="1:17" x14ac:dyDescent="0.2">
      <c r="A12" s="1" t="s">
        <v>12</v>
      </c>
      <c r="B12" s="1" t="s">
        <v>15</v>
      </c>
      <c r="D12" s="10"/>
    </row>
    <row r="13" spans="1:17" x14ac:dyDescent="0.2">
      <c r="A13" s="1" t="s">
        <v>12</v>
      </c>
      <c r="B13" s="1" t="s">
        <v>15</v>
      </c>
    </row>
    <row r="14" spans="1:17" x14ac:dyDescent="0.2">
      <c r="A14" s="1" t="s">
        <v>14</v>
      </c>
      <c r="B14" s="1" t="s">
        <v>15</v>
      </c>
    </row>
    <row r="15" spans="1:17" x14ac:dyDescent="0.2">
      <c r="A15" s="1" t="s">
        <v>14</v>
      </c>
      <c r="B15" s="1" t="s">
        <v>11</v>
      </c>
      <c r="E15" s="11"/>
      <c r="F15" s="11"/>
      <c r="H15" t="s">
        <v>17</v>
      </c>
      <c r="I15" t="s">
        <v>9</v>
      </c>
    </row>
    <row r="16" spans="1:17" x14ac:dyDescent="0.2">
      <c r="A16" s="1" t="s">
        <v>13</v>
      </c>
      <c r="B16" s="1" t="s">
        <v>11</v>
      </c>
      <c r="E16" s="11">
        <v>12</v>
      </c>
      <c r="F16" s="11"/>
      <c r="H16" t="s">
        <v>18</v>
      </c>
      <c r="I16" t="s">
        <v>11</v>
      </c>
      <c r="J16" t="s">
        <v>15</v>
      </c>
      <c r="K16" t="s">
        <v>16</v>
      </c>
      <c r="Q16" s="4" t="s">
        <v>23</v>
      </c>
    </row>
    <row r="17" spans="1:17" x14ac:dyDescent="0.2">
      <c r="A17" s="1" t="s">
        <v>12</v>
      </c>
      <c r="B17" s="1" t="s">
        <v>15</v>
      </c>
      <c r="E17" s="11">
        <v>20</v>
      </c>
      <c r="F17" s="11"/>
      <c r="H17" t="s">
        <v>12</v>
      </c>
      <c r="I17">
        <v>3</v>
      </c>
      <c r="J17">
        <v>10</v>
      </c>
      <c r="K17">
        <v>13</v>
      </c>
      <c r="M17" s="11">
        <f>$I$21*K17/$K$21</f>
        <v>5.2962962962962967</v>
      </c>
      <c r="N17" s="11">
        <f>$J$21*K17/$K$21</f>
        <v>7.7037037037037033</v>
      </c>
      <c r="Q17">
        <f>_xlfn.CHISQ.TEST(I5:J8,M17:N20)</f>
        <v>7.599006624962326E-3</v>
      </c>
    </row>
    <row r="18" spans="1:17" x14ac:dyDescent="0.2">
      <c r="A18" s="1" t="s">
        <v>12</v>
      </c>
      <c r="B18" s="1" t="s">
        <v>15</v>
      </c>
      <c r="E18" s="28">
        <v>8</v>
      </c>
      <c r="F18" s="11"/>
      <c r="H18" t="s">
        <v>14</v>
      </c>
      <c r="I18">
        <v>7</v>
      </c>
      <c r="J18">
        <v>17</v>
      </c>
      <c r="K18">
        <v>24</v>
      </c>
      <c r="M18" s="11">
        <f>$I$21*K18/$K$21</f>
        <v>9.7777777777777786</v>
      </c>
      <c r="N18" s="11">
        <f>$J$21*K18/$K$21</f>
        <v>14.222222222222221</v>
      </c>
      <c r="Q18" t="b">
        <f>Q17&lt;0.05</f>
        <v>1</v>
      </c>
    </row>
    <row r="19" spans="1:17" x14ac:dyDescent="0.2">
      <c r="A19" s="1" t="s">
        <v>10</v>
      </c>
      <c r="B19" s="1" t="s">
        <v>15</v>
      </c>
      <c r="E19">
        <v>35</v>
      </c>
      <c r="H19" t="s">
        <v>10</v>
      </c>
      <c r="I19">
        <v>4</v>
      </c>
      <c r="J19">
        <v>4</v>
      </c>
      <c r="K19">
        <v>8</v>
      </c>
      <c r="M19" s="11">
        <f t="shared" ref="M19:M21" si="0">$I$21*K19/$K$21</f>
        <v>3.2592592592592591</v>
      </c>
      <c r="N19" s="11">
        <f>$J$21*K19/$K$21</f>
        <v>4.7407407407407405</v>
      </c>
    </row>
    <row r="20" spans="1:17" x14ac:dyDescent="0.2">
      <c r="A20" s="1" t="s">
        <v>14</v>
      </c>
      <c r="B20" s="1" t="s">
        <v>15</v>
      </c>
      <c r="E20">
        <f>E19*E18*E17*E16</f>
        <v>67200</v>
      </c>
      <c r="H20" t="s">
        <v>13</v>
      </c>
      <c r="I20">
        <v>8</v>
      </c>
      <c r="J20">
        <v>1</v>
      </c>
      <c r="K20">
        <v>9</v>
      </c>
      <c r="M20" s="11">
        <f t="shared" si="0"/>
        <v>3.6666666666666665</v>
      </c>
      <c r="N20" s="11">
        <f t="shared" ref="N20:N21" si="1">$J$21*K20/$K$21</f>
        <v>5.333333333333333</v>
      </c>
    </row>
    <row r="21" spans="1:17" x14ac:dyDescent="0.2">
      <c r="A21" s="1" t="s">
        <v>14</v>
      </c>
      <c r="B21" s="1" t="s">
        <v>15</v>
      </c>
      <c r="D21" s="4"/>
      <c r="E21" s="12"/>
      <c r="H21" t="s">
        <v>16</v>
      </c>
      <c r="I21">
        <v>22</v>
      </c>
      <c r="J21">
        <v>32</v>
      </c>
      <c r="K21">
        <v>54</v>
      </c>
      <c r="M21">
        <f t="shared" si="0"/>
        <v>22</v>
      </c>
      <c r="N21">
        <f t="shared" si="1"/>
        <v>32</v>
      </c>
    </row>
    <row r="22" spans="1:17" x14ac:dyDescent="0.2">
      <c r="A22" s="1" t="s">
        <v>13</v>
      </c>
      <c r="B22" s="1" t="s">
        <v>11</v>
      </c>
    </row>
    <row r="23" spans="1:17" x14ac:dyDescent="0.2">
      <c r="A23" s="1" t="s">
        <v>13</v>
      </c>
      <c r="B23" s="1" t="s">
        <v>11</v>
      </c>
    </row>
    <row r="24" spans="1:17" x14ac:dyDescent="0.2">
      <c r="A24" s="1" t="s">
        <v>13</v>
      </c>
      <c r="B24" s="1" t="s">
        <v>11</v>
      </c>
    </row>
    <row r="25" spans="1:17" x14ac:dyDescent="0.2">
      <c r="A25" s="1" t="s">
        <v>10</v>
      </c>
      <c r="B25" s="1" t="s">
        <v>11</v>
      </c>
      <c r="H25" t="s">
        <v>19</v>
      </c>
    </row>
    <row r="26" spans="1:17" x14ac:dyDescent="0.2">
      <c r="A26" s="1" t="s">
        <v>10</v>
      </c>
      <c r="B26" s="1" t="s">
        <v>15</v>
      </c>
      <c r="H26" t="s">
        <v>20</v>
      </c>
    </row>
    <row r="27" spans="1:17" x14ac:dyDescent="0.2">
      <c r="A27" s="1" t="s">
        <v>14</v>
      </c>
      <c r="B27" s="1" t="s">
        <v>15</v>
      </c>
    </row>
    <row r="28" spans="1:17" x14ac:dyDescent="0.2">
      <c r="A28" s="1" t="s">
        <v>14</v>
      </c>
      <c r="B28" s="1" t="s">
        <v>11</v>
      </c>
    </row>
    <row r="29" spans="1:17" x14ac:dyDescent="0.2">
      <c r="A29" s="1" t="s">
        <v>14</v>
      </c>
      <c r="B29" s="1" t="s">
        <v>15</v>
      </c>
    </row>
    <row r="30" spans="1:17" x14ac:dyDescent="0.2">
      <c r="A30" s="1" t="s">
        <v>13</v>
      </c>
      <c r="B30" s="1" t="s">
        <v>11</v>
      </c>
    </row>
    <row r="31" spans="1:17" x14ac:dyDescent="0.2">
      <c r="A31" s="1" t="s">
        <v>13</v>
      </c>
      <c r="B31" s="1" t="s">
        <v>15</v>
      </c>
      <c r="H31">
        <f>_xlfn.CHISQ.TEST(I5:J8,M17:N20)</f>
        <v>7.599006624962326E-3</v>
      </c>
    </row>
    <row r="32" spans="1:17" x14ac:dyDescent="0.2">
      <c r="A32" s="1" t="s">
        <v>12</v>
      </c>
      <c r="B32" s="1" t="s">
        <v>15</v>
      </c>
    </row>
    <row r="33" spans="1:16" x14ac:dyDescent="0.2">
      <c r="A33" s="3" t="s">
        <v>12</v>
      </c>
      <c r="B33" s="3" t="s">
        <v>11</v>
      </c>
    </row>
    <row r="34" spans="1:16" x14ac:dyDescent="0.2">
      <c r="A34" s="3" t="s">
        <v>10</v>
      </c>
      <c r="B34" s="3" t="s">
        <v>15</v>
      </c>
      <c r="M34" s="13" t="s">
        <v>17</v>
      </c>
      <c r="N34" s="13" t="s">
        <v>9</v>
      </c>
      <c r="O34" s="14"/>
      <c r="P34" s="15"/>
    </row>
    <row r="35" spans="1:16" x14ac:dyDescent="0.2">
      <c r="A35" s="3" t="s">
        <v>10</v>
      </c>
      <c r="B35" s="3" t="s">
        <v>15</v>
      </c>
      <c r="H35" s="8" t="s">
        <v>17</v>
      </c>
      <c r="I35" s="8" t="s">
        <v>9</v>
      </c>
      <c r="J35" s="8"/>
      <c r="M35" s="13" t="s">
        <v>18</v>
      </c>
      <c r="N35" s="13" t="s">
        <v>11</v>
      </c>
      <c r="O35" s="17" t="s">
        <v>15</v>
      </c>
      <c r="P35" s="18"/>
    </row>
    <row r="36" spans="1:16" x14ac:dyDescent="0.2">
      <c r="A36" s="3" t="s">
        <v>12</v>
      </c>
      <c r="B36" s="3" t="s">
        <v>15</v>
      </c>
      <c r="H36" s="8" t="s">
        <v>18</v>
      </c>
      <c r="I36" s="8" t="s">
        <v>11</v>
      </c>
      <c r="J36" s="8" t="s">
        <v>15</v>
      </c>
      <c r="M36" s="19" t="s">
        <v>12</v>
      </c>
      <c r="N36" s="13">
        <v>5.2962962962962967</v>
      </c>
      <c r="O36" s="17">
        <v>7.7037037037037033</v>
      </c>
      <c r="P36" s="18"/>
    </row>
    <row r="37" spans="1:16" x14ac:dyDescent="0.2">
      <c r="A37" s="5" t="s">
        <v>14</v>
      </c>
      <c r="B37" s="6" t="s">
        <v>15</v>
      </c>
      <c r="H37" s="8" t="s">
        <v>12</v>
      </c>
      <c r="I37" s="8">
        <v>5.2962962962962967</v>
      </c>
      <c r="J37" s="8">
        <v>7.7037037037037033</v>
      </c>
      <c r="L37" s="4"/>
      <c r="M37" s="20" t="s">
        <v>14</v>
      </c>
      <c r="N37" s="25">
        <v>9.7777777777777786</v>
      </c>
      <c r="O37" s="26">
        <v>14.222222222222221</v>
      </c>
      <c r="P37" s="27"/>
    </row>
    <row r="38" spans="1:16" x14ac:dyDescent="0.2">
      <c r="A38" s="5" t="s">
        <v>14</v>
      </c>
      <c r="B38" s="6" t="s">
        <v>11</v>
      </c>
      <c r="H38" s="8" t="s">
        <v>14</v>
      </c>
      <c r="I38" s="8">
        <v>9.7777777777777786</v>
      </c>
      <c r="J38" s="8">
        <v>14.222222222222221</v>
      </c>
      <c r="M38" s="20" t="s">
        <v>10</v>
      </c>
      <c r="N38" s="25">
        <v>3.2592592592592591</v>
      </c>
      <c r="O38" s="26">
        <v>4.7407407407407405</v>
      </c>
      <c r="P38" s="27"/>
    </row>
    <row r="39" spans="1:16" x14ac:dyDescent="0.2">
      <c r="A39" s="6" t="s">
        <v>13</v>
      </c>
      <c r="B39" s="6" t="s">
        <v>11</v>
      </c>
      <c r="H39" s="8" t="s">
        <v>10</v>
      </c>
      <c r="I39" s="8">
        <v>3.2592592592592591</v>
      </c>
      <c r="J39" s="8">
        <v>4.7407407407407405</v>
      </c>
      <c r="M39" s="20" t="s">
        <v>13</v>
      </c>
      <c r="N39" s="25">
        <v>3.6666666666666665</v>
      </c>
      <c r="O39" s="26">
        <v>5.333333333333333</v>
      </c>
      <c r="P39" s="27"/>
    </row>
    <row r="40" spans="1:16" x14ac:dyDescent="0.2">
      <c r="A40" s="6" t="s">
        <v>13</v>
      </c>
      <c r="B40" s="6" t="s">
        <v>11</v>
      </c>
      <c r="H40" s="8" t="s">
        <v>13</v>
      </c>
      <c r="I40" s="8">
        <v>3.6666666666666665</v>
      </c>
      <c r="J40" s="8">
        <v>5.333333333333333</v>
      </c>
      <c r="M40" s="21" t="s">
        <v>16</v>
      </c>
      <c r="N40" s="22">
        <v>22</v>
      </c>
      <c r="O40" s="23">
        <v>32</v>
      </c>
      <c r="P40" s="24"/>
    </row>
    <row r="41" spans="1:16" x14ac:dyDescent="0.2">
      <c r="A41" s="6" t="s">
        <v>12</v>
      </c>
      <c r="B41" s="6" t="s">
        <v>15</v>
      </c>
      <c r="H41" s="8" t="s">
        <v>16</v>
      </c>
      <c r="I41" s="8">
        <v>22</v>
      </c>
      <c r="J41" s="8">
        <v>32</v>
      </c>
    </row>
    <row r="42" spans="1:16" x14ac:dyDescent="0.2">
      <c r="A42" s="6" t="s">
        <v>12</v>
      </c>
      <c r="B42" s="6" t="s">
        <v>15</v>
      </c>
    </row>
    <row r="43" spans="1:16" x14ac:dyDescent="0.2">
      <c r="A43" s="6" t="s">
        <v>12</v>
      </c>
      <c r="B43" s="6" t="s">
        <v>15</v>
      </c>
    </row>
    <row r="44" spans="1:16" x14ac:dyDescent="0.2">
      <c r="A44" s="6" t="s">
        <v>12</v>
      </c>
      <c r="B44" s="6" t="s">
        <v>15</v>
      </c>
    </row>
    <row r="45" spans="1:16" x14ac:dyDescent="0.2">
      <c r="A45" s="6" t="s">
        <v>14</v>
      </c>
      <c r="B45" s="6" t="s">
        <v>15</v>
      </c>
    </row>
    <row r="46" spans="1:16" x14ac:dyDescent="0.2">
      <c r="A46" s="6" t="s">
        <v>14</v>
      </c>
      <c r="B46" s="6" t="s">
        <v>15</v>
      </c>
    </row>
    <row r="47" spans="1:16" x14ac:dyDescent="0.2">
      <c r="A47" s="6" t="s">
        <v>14</v>
      </c>
      <c r="B47" s="6" t="s">
        <v>11</v>
      </c>
    </row>
    <row r="48" spans="1:16" x14ac:dyDescent="0.2">
      <c r="A48" s="6" t="s">
        <v>14</v>
      </c>
      <c r="B48" s="6" t="s">
        <v>11</v>
      </c>
    </row>
    <row r="49" spans="1:11" x14ac:dyDescent="0.2">
      <c r="A49" s="6" t="s">
        <v>14</v>
      </c>
      <c r="B49" s="6" t="s">
        <v>15</v>
      </c>
      <c r="H49" s="4" t="s">
        <v>21</v>
      </c>
      <c r="I49">
        <v>1923</v>
      </c>
    </row>
    <row r="50" spans="1:11" x14ac:dyDescent="0.2">
      <c r="A50" s="6" t="s">
        <v>14</v>
      </c>
      <c r="B50" s="6" t="s">
        <v>15</v>
      </c>
      <c r="H50" s="4" t="s">
        <v>22</v>
      </c>
      <c r="I50">
        <v>6114</v>
      </c>
    </row>
    <row r="51" spans="1:11" x14ac:dyDescent="0.2">
      <c r="A51" s="6" t="s">
        <v>14</v>
      </c>
      <c r="B51" s="6" t="s">
        <v>15</v>
      </c>
    </row>
    <row r="52" spans="1:11" x14ac:dyDescent="0.2">
      <c r="A52" s="6" t="s">
        <v>14</v>
      </c>
      <c r="B52" s="6" t="s">
        <v>15</v>
      </c>
    </row>
    <row r="53" spans="1:11" x14ac:dyDescent="0.2">
      <c r="A53" s="6" t="s">
        <v>14</v>
      </c>
      <c r="B53" s="6" t="s">
        <v>11</v>
      </c>
    </row>
    <row r="54" spans="1:11" x14ac:dyDescent="0.2">
      <c r="A54" s="6" t="s">
        <v>14</v>
      </c>
      <c r="B54" s="6" t="s">
        <v>15</v>
      </c>
    </row>
    <row r="55" spans="1:11" x14ac:dyDescent="0.2">
      <c r="A55" s="6" t="s">
        <v>14</v>
      </c>
      <c r="B55" s="6" t="s">
        <v>15</v>
      </c>
    </row>
    <row r="56" spans="1:11" x14ac:dyDescent="0.2">
      <c r="A56" s="6" t="s">
        <v>14</v>
      </c>
      <c r="B56" s="6" t="s">
        <v>15</v>
      </c>
    </row>
    <row r="57" spans="1:11" x14ac:dyDescent="0.2">
      <c r="A57" s="6" t="s">
        <v>14</v>
      </c>
      <c r="B57" s="6" t="s">
        <v>15</v>
      </c>
      <c r="H57" s="29" t="s">
        <v>24</v>
      </c>
    </row>
    <row r="59" spans="1:11" x14ac:dyDescent="0.2">
      <c r="I59" t="s">
        <v>25</v>
      </c>
      <c r="J59" s="4" t="s">
        <v>29</v>
      </c>
    </row>
    <row r="60" spans="1:11" x14ac:dyDescent="0.2">
      <c r="H60" t="s">
        <v>26</v>
      </c>
      <c r="I60">
        <v>709</v>
      </c>
      <c r="J60">
        <v>2505</v>
      </c>
      <c r="K60">
        <f>I60+J60</f>
        <v>3214</v>
      </c>
    </row>
    <row r="61" spans="1:11" x14ac:dyDescent="0.2">
      <c r="H61" t="s">
        <v>27</v>
      </c>
      <c r="I61">
        <v>1115</v>
      </c>
      <c r="J61">
        <v>5174</v>
      </c>
      <c r="K61">
        <f>I61+J61</f>
        <v>6289</v>
      </c>
    </row>
    <row r="62" spans="1:11" x14ac:dyDescent="0.2">
      <c r="H62" t="s">
        <v>28</v>
      </c>
      <c r="I62">
        <v>146</v>
      </c>
      <c r="J62">
        <v>358</v>
      </c>
      <c r="K62">
        <f>I62+J62</f>
        <v>504</v>
      </c>
    </row>
    <row r="63" spans="1:11" x14ac:dyDescent="0.2">
      <c r="I63">
        <f>I62+I61+I60</f>
        <v>1970</v>
      </c>
      <c r="J63">
        <f>J62+J61+J60</f>
        <v>8037</v>
      </c>
      <c r="K63">
        <f>K62+K61+K60</f>
        <v>10007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F7EFA-3766-460C-90C0-DD6CCEF4B0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2A5591-6EB5-43D8-911C-915C6DB14B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43E632-125F-45C8-8CCC-AF477421D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70598-80c1-4ed7-a5cf-d50e51ea1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GIELO</cp:lastModifiedBy>
  <cp:revision/>
  <dcterms:created xsi:type="dcterms:W3CDTF">2024-09-26T09:32:59Z</dcterms:created>
  <dcterms:modified xsi:type="dcterms:W3CDTF">2025-03-13T08:23:12Z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</Properties>
</file>