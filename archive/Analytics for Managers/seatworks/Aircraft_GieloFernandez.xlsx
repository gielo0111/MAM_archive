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eloJosephFernandez\Documents\MAM_repo\Analytics for Managers\seatworks\"/>
    </mc:Choice>
  </mc:AlternateContent>
  <xr:revisionPtr revIDLastSave="0" documentId="13_ncr:1_{18ECF4AA-5B34-42ED-BE26-C1D11C05A7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ving average" sheetId="1" r:id="rId1"/>
    <sheet name="forecast" sheetId="3" r:id="rId2"/>
    <sheet name="exponential smoothin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C18" i="3"/>
  <c r="C19" i="3"/>
  <c r="C22" i="3"/>
  <c r="C20" i="3"/>
  <c r="C21" i="3"/>
  <c r="C23" i="3"/>
  <c r="D23" i="3" l="1"/>
  <c r="E23" i="3"/>
  <c r="D21" i="3"/>
  <c r="E21" i="3"/>
  <c r="D20" i="3"/>
  <c r="E20" i="3"/>
  <c r="D22" i="3"/>
  <c r="E22" i="3"/>
  <c r="D19" i="3"/>
  <c r="E19" i="3"/>
  <c r="D18" i="3"/>
  <c r="E18" i="3"/>
</calcChain>
</file>

<file path=xl/sharedStrings.xml><?xml version="1.0" encoding="utf-8"?>
<sst xmlns="http://schemas.openxmlformats.org/spreadsheetml/2006/main" count="12" uniqueCount="8">
  <si>
    <t>Year</t>
  </si>
  <si>
    <t>Aircraft overhauls</t>
  </si>
  <si>
    <t>Moving average</t>
  </si>
  <si>
    <t>Exponential smoothing</t>
  </si>
  <si>
    <t>Exponential</t>
  </si>
  <si>
    <t>Forecast(Aircraft overhauls)</t>
  </si>
  <si>
    <t>Lower Confidence Bound(Aircraft overhauls)</t>
  </si>
  <si>
    <t>Upper Confidence Bound(Aircraft overhauls)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</si>
</sst>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Aircraft overhauls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average'!$A$2:$A$17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'moving average'!$B$2:$B$17</c:f>
              <c:numCache>
                <c:formatCode>General</c:formatCode>
                <c:ptCount val="16"/>
                <c:pt idx="0">
                  <c:v>147</c:v>
                </c:pt>
                <c:pt idx="1">
                  <c:v>175</c:v>
                </c:pt>
                <c:pt idx="2">
                  <c:v>150</c:v>
                </c:pt>
                <c:pt idx="3">
                  <c:v>191</c:v>
                </c:pt>
                <c:pt idx="4">
                  <c:v>188</c:v>
                </c:pt>
                <c:pt idx="5">
                  <c:v>179</c:v>
                </c:pt>
                <c:pt idx="6">
                  <c:v>201</c:v>
                </c:pt>
                <c:pt idx="7">
                  <c:v>220</c:v>
                </c:pt>
                <c:pt idx="8">
                  <c:v>209</c:v>
                </c:pt>
                <c:pt idx="9">
                  <c:v>220</c:v>
                </c:pt>
                <c:pt idx="10">
                  <c:v>240</c:v>
                </c:pt>
                <c:pt idx="11">
                  <c:v>235</c:v>
                </c:pt>
                <c:pt idx="12">
                  <c:v>261</c:v>
                </c:pt>
                <c:pt idx="13">
                  <c:v>270</c:v>
                </c:pt>
                <c:pt idx="14">
                  <c:v>272</c:v>
                </c:pt>
                <c:pt idx="1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4-4236-9639-AC6F4869756C}"/>
            </c:ext>
          </c:extLst>
        </c:ser>
        <c:ser>
          <c:idx val="1"/>
          <c:order val="1"/>
          <c:tx>
            <c:strRef>
              <c:f>'moving average'!$C$1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average'!$A$2:$A$17</c:f>
              <c:numCache>
                <c:formatCode>General</c:formatCode>
                <c:ptCount val="1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</c:numCache>
            </c:numRef>
          </c:cat>
          <c:val>
            <c:numRef>
              <c:f>'moving average'!$C$2:$C$17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157.33333333333334</c:v>
                </c:pt>
                <c:pt idx="3">
                  <c:v>172</c:v>
                </c:pt>
                <c:pt idx="4">
                  <c:v>176.33333333333334</c:v>
                </c:pt>
                <c:pt idx="5">
                  <c:v>186</c:v>
                </c:pt>
                <c:pt idx="6">
                  <c:v>189.33333333333334</c:v>
                </c:pt>
                <c:pt idx="7">
                  <c:v>200</c:v>
                </c:pt>
                <c:pt idx="8">
                  <c:v>210</c:v>
                </c:pt>
                <c:pt idx="9">
                  <c:v>216.33333333333334</c:v>
                </c:pt>
                <c:pt idx="10">
                  <c:v>223</c:v>
                </c:pt>
                <c:pt idx="11">
                  <c:v>231.66666666666666</c:v>
                </c:pt>
                <c:pt idx="12">
                  <c:v>245.33333333333334</c:v>
                </c:pt>
                <c:pt idx="13">
                  <c:v>255.33333333333334</c:v>
                </c:pt>
                <c:pt idx="14">
                  <c:v>267.66666666666669</c:v>
                </c:pt>
                <c:pt idx="15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4-4236-9639-AC6F48697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42176"/>
        <c:axId val="201442656"/>
      </c:lineChart>
      <c:catAx>
        <c:axId val="20144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2656"/>
        <c:crosses val="autoZero"/>
        <c:auto val="1"/>
        <c:lblAlgn val="ctr"/>
        <c:lblOffset val="100"/>
        <c:noMultiLvlLbl val="0"/>
      </c:catAx>
      <c:valAx>
        <c:axId val="2014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Aircraft Overhauls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average'!$B$1</c:f>
              <c:strCache>
                <c:ptCount val="1"/>
                <c:pt idx="0">
                  <c:v>Aircraft overhauls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average'!$B$2:$B$17</c:f>
              <c:numCache>
                <c:formatCode>General</c:formatCode>
                <c:ptCount val="16"/>
                <c:pt idx="0">
                  <c:v>147</c:v>
                </c:pt>
                <c:pt idx="1">
                  <c:v>175</c:v>
                </c:pt>
                <c:pt idx="2">
                  <c:v>150</c:v>
                </c:pt>
                <c:pt idx="3">
                  <c:v>191</c:v>
                </c:pt>
                <c:pt idx="4">
                  <c:v>188</c:v>
                </c:pt>
                <c:pt idx="5">
                  <c:v>179</c:v>
                </c:pt>
                <c:pt idx="6">
                  <c:v>201</c:v>
                </c:pt>
                <c:pt idx="7">
                  <c:v>220</c:v>
                </c:pt>
                <c:pt idx="8">
                  <c:v>209</c:v>
                </c:pt>
                <c:pt idx="9">
                  <c:v>220</c:v>
                </c:pt>
                <c:pt idx="10">
                  <c:v>240</c:v>
                </c:pt>
                <c:pt idx="11">
                  <c:v>235</c:v>
                </c:pt>
                <c:pt idx="12">
                  <c:v>261</c:v>
                </c:pt>
                <c:pt idx="13">
                  <c:v>270</c:v>
                </c:pt>
                <c:pt idx="14">
                  <c:v>272</c:v>
                </c:pt>
                <c:pt idx="1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F-448F-922C-5EF43890C702}"/>
            </c:ext>
          </c:extLst>
        </c:ser>
        <c:ser>
          <c:idx val="1"/>
          <c:order val="1"/>
          <c:tx>
            <c:strRef>
              <c:f>'moving average'!$C$1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average'!$C$2:$C$17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157.33333333333334</c:v>
                </c:pt>
                <c:pt idx="3">
                  <c:v>172</c:v>
                </c:pt>
                <c:pt idx="4">
                  <c:v>176.33333333333334</c:v>
                </c:pt>
                <c:pt idx="5">
                  <c:v>186</c:v>
                </c:pt>
                <c:pt idx="6">
                  <c:v>189.33333333333334</c:v>
                </c:pt>
                <c:pt idx="7">
                  <c:v>200</c:v>
                </c:pt>
                <c:pt idx="8">
                  <c:v>210</c:v>
                </c:pt>
                <c:pt idx="9">
                  <c:v>216.33333333333334</c:v>
                </c:pt>
                <c:pt idx="10">
                  <c:v>223</c:v>
                </c:pt>
                <c:pt idx="11">
                  <c:v>231.66666666666666</c:v>
                </c:pt>
                <c:pt idx="12">
                  <c:v>245.33333333333334</c:v>
                </c:pt>
                <c:pt idx="13">
                  <c:v>255.33333333333334</c:v>
                </c:pt>
                <c:pt idx="14">
                  <c:v>267.66666666666669</c:v>
                </c:pt>
                <c:pt idx="15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2F-448F-922C-5EF43890C702}"/>
            </c:ext>
          </c:extLst>
        </c:ser>
        <c:ser>
          <c:idx val="2"/>
          <c:order val="2"/>
          <c:tx>
            <c:strRef>
              <c:f>'moving average'!$D$1</c:f>
              <c:strCache>
                <c:ptCount val="1"/>
                <c:pt idx="0">
                  <c:v>Exponential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average'!$D$2:$D$17</c:f>
              <c:numCache>
                <c:formatCode>General</c:formatCode>
                <c:ptCount val="16"/>
                <c:pt idx="0">
                  <c:v>147</c:v>
                </c:pt>
                <c:pt idx="1">
                  <c:v>161</c:v>
                </c:pt>
                <c:pt idx="2">
                  <c:v>155.5</c:v>
                </c:pt>
                <c:pt idx="3">
                  <c:v>173.25</c:v>
                </c:pt>
                <c:pt idx="4">
                  <c:v>180.625</c:v>
                </c:pt>
                <c:pt idx="5">
                  <c:v>179.8125</c:v>
                </c:pt>
                <c:pt idx="6">
                  <c:v>190.40625</c:v>
                </c:pt>
                <c:pt idx="7">
                  <c:v>205.203125</c:v>
                </c:pt>
                <c:pt idx="8">
                  <c:v>207.1015625</c:v>
                </c:pt>
                <c:pt idx="9">
                  <c:v>213.55078125</c:v>
                </c:pt>
                <c:pt idx="10">
                  <c:v>226.775390625</c:v>
                </c:pt>
                <c:pt idx="11">
                  <c:v>230.8876953125</c:v>
                </c:pt>
                <c:pt idx="12">
                  <c:v>245.94384765625</c:v>
                </c:pt>
                <c:pt idx="13">
                  <c:v>257.971923828125</c:v>
                </c:pt>
                <c:pt idx="14">
                  <c:v>264.9859619140625</c:v>
                </c:pt>
                <c:pt idx="15">
                  <c:v>272.49298095703125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2F-448F-922C-5EF43890C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661504"/>
        <c:axId val="240662464"/>
      </c:lineChart>
      <c:catAx>
        <c:axId val="240661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62464"/>
        <c:crosses val="autoZero"/>
        <c:auto val="1"/>
        <c:lblAlgn val="ctr"/>
        <c:lblOffset val="100"/>
        <c:noMultiLvlLbl val="0"/>
      </c:catAx>
      <c:valAx>
        <c:axId val="2406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07316476744754E-2"/>
          <c:y val="4.7619047619047616E-2"/>
          <c:w val="0.91815914315058444"/>
          <c:h val="0.68637011282680571"/>
        </c:manualLayout>
      </c:layout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Aircraft overhauls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forecast!$B$2:$B$23</c:f>
              <c:numCache>
                <c:formatCode>General</c:formatCode>
                <c:ptCount val="22"/>
                <c:pt idx="0">
                  <c:v>147</c:v>
                </c:pt>
                <c:pt idx="1">
                  <c:v>175</c:v>
                </c:pt>
                <c:pt idx="2">
                  <c:v>150</c:v>
                </c:pt>
                <c:pt idx="3">
                  <c:v>191</c:v>
                </c:pt>
                <c:pt idx="4">
                  <c:v>188</c:v>
                </c:pt>
                <c:pt idx="5">
                  <c:v>179</c:v>
                </c:pt>
                <c:pt idx="6">
                  <c:v>201</c:v>
                </c:pt>
                <c:pt idx="7">
                  <c:v>220</c:v>
                </c:pt>
                <c:pt idx="8">
                  <c:v>209</c:v>
                </c:pt>
                <c:pt idx="9">
                  <c:v>220</c:v>
                </c:pt>
                <c:pt idx="10">
                  <c:v>240</c:v>
                </c:pt>
                <c:pt idx="11">
                  <c:v>235</c:v>
                </c:pt>
                <c:pt idx="12">
                  <c:v>261</c:v>
                </c:pt>
                <c:pt idx="13">
                  <c:v>270</c:v>
                </c:pt>
                <c:pt idx="14">
                  <c:v>272</c:v>
                </c:pt>
                <c:pt idx="1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B-4557-8817-0B265ACE2323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Forecast(Aircraft overhauls)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forecast!$A$2:$A$23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forecast!$C$2:$C$23</c:f>
              <c:numCache>
                <c:formatCode>General</c:formatCode>
                <c:ptCount val="22"/>
                <c:pt idx="15">
                  <c:v>280</c:v>
                </c:pt>
                <c:pt idx="16">
                  <c:v>299.48316826760106</c:v>
                </c:pt>
                <c:pt idx="17">
                  <c:v>285.19923147077128</c:v>
                </c:pt>
                <c:pt idx="18">
                  <c:v>310.48135545850397</c:v>
                </c:pt>
                <c:pt idx="19">
                  <c:v>326.06157141602881</c:v>
                </c:pt>
                <c:pt idx="20">
                  <c:v>311.77763461919903</c:v>
                </c:pt>
                <c:pt idx="21">
                  <c:v>337.05975860693178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B-4557-8817-0B265ACE2323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Bound(Aircraft overhauls)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forecast!$A$2:$A$23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forecast!$D$2:$D$23</c:f>
              <c:numCache>
                <c:formatCode>General</c:formatCode>
                <c:ptCount val="22"/>
                <c:pt idx="15" formatCode="0.00">
                  <c:v>280</c:v>
                </c:pt>
                <c:pt idx="16" formatCode="0.00">
                  <c:v>284.92176051010262</c:v>
                </c:pt>
                <c:pt idx="17" formatCode="0.00">
                  <c:v>270.52086296888774</c:v>
                </c:pt>
                <c:pt idx="18" formatCode="0.00">
                  <c:v>295.68512361739027</c:v>
                </c:pt>
                <c:pt idx="19" formatCode="0.00">
                  <c:v>311.14473993724749</c:v>
                </c:pt>
                <c:pt idx="20" formatCode="0.00">
                  <c:v>296.74117073846111</c:v>
                </c:pt>
                <c:pt idx="21" formatCode="0.00">
                  <c:v>321.90278094855165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5B-4557-8817-0B265ACE2323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Bound(Aircraft overhauls)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forecast!$A$2:$A$23</c:f>
              <c:numCache>
                <c:formatCode>General</c:formatCode>
                <c:ptCount val="2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</c:numCache>
            </c:numRef>
          </c:cat>
          <c:val>
            <c:numRef>
              <c:f>forecast!$E$2:$E$23</c:f>
              <c:numCache>
                <c:formatCode>General</c:formatCode>
                <c:ptCount val="22"/>
                <c:pt idx="15" formatCode="0.00">
                  <c:v>280</c:v>
                </c:pt>
                <c:pt idx="16" formatCode="0.00">
                  <c:v>314.0445760250995</c:v>
                </c:pt>
                <c:pt idx="17" formatCode="0.00">
                  <c:v>299.87759997265482</c:v>
                </c:pt>
                <c:pt idx="18" formatCode="0.00">
                  <c:v>325.27758729961766</c:v>
                </c:pt>
                <c:pt idx="19" formatCode="0.00">
                  <c:v>340.97840289481013</c:v>
                </c:pt>
                <c:pt idx="20" formatCode="0.00">
                  <c:v>326.81409849993696</c:v>
                </c:pt>
                <c:pt idx="21" formatCode="0.00">
                  <c:v>352.21673626531191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5B-4557-8817-0B265ACE2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887519"/>
        <c:axId val="1142889439"/>
      </c:lineChart>
      <c:catAx>
        <c:axId val="11428875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9439"/>
        <c:crosses val="autoZero"/>
        <c:auto val="1"/>
        <c:lblAlgn val="ctr"/>
        <c:lblOffset val="100"/>
        <c:noMultiLvlLbl val="0"/>
      </c:catAx>
      <c:valAx>
        <c:axId val="11428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159403</xdr:colOff>
      <xdr:row>0</xdr:row>
      <xdr:rowOff>98892</xdr:rowOff>
    </xdr:from>
    <xdr:to>
      <xdr:col>17</xdr:col>
      <xdr:colOff>224118</xdr:colOff>
      <xdr:row>12</xdr:row>
      <xdr:rowOff>22412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C85D2A-1E4E-6873-F079-6567E2023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582704</xdr:colOff>
      <xdr:row>14</xdr:row>
      <xdr:rowOff>34738</xdr:rowOff>
    </xdr:from>
    <xdr:to>
      <xdr:col>18</xdr:col>
      <xdr:colOff>313763</xdr:colOff>
      <xdr:row>37</xdr:row>
      <xdr:rowOff>112059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B07DEC-A0A1-871B-2D46-A9DC5334B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2</xdr:row>
      <xdr:rowOff>14287</xdr:rowOff>
    </xdr:from>
    <xdr:to>
      <xdr:col>16</xdr:col>
      <xdr:colOff>257175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AA834-3D60-10EB-4BEF-28B39637E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B52FE-E367-40DD-93F1-53C07002FEF2}" name="Table1" displayName="Table1" ref="A1:E23" totalsRowShown="0">
  <autoFilter ref="A1:E23" xr:uid="{746B52FE-E367-40DD-93F1-53C07002FEF2}"/>
  <tableColumns count="5">
    <tableColumn id="1" xr3:uid="{D709F895-D449-45B5-83B0-6E244949D15D}" name="Year"/>
    <tableColumn id="2" xr3:uid="{431DF732-21DA-4A71-B9B3-D9141A0509C9}" name="Aircraft overhauls"/>
    <tableColumn id="3" xr3:uid="{ABCB7FED-0667-48A7-97D2-6C18CEE6B4A7}" name="Forecast(Aircraft overhauls)">
      <calculatedColumnFormula>_xlfn.FORECAST.ETS(A2,$B$2:$B$17,$A$2:$A$17,1,1)</calculatedColumnFormula>
    </tableColumn>
    <tableColumn id="4" xr3:uid="{E7498A52-68EA-4C13-82B0-7CC5FF0BBFE8}" name="Lower Confidence Bound(Aircraft overhauls)" dataDxfId="1">
      <calculatedColumnFormula>C2-_xlfn.FORECAST.ETS.CONFINT(A2,$B$2:$B$17,$A$2:$A$17,0.95,1,1)</calculatedColumnFormula>
    </tableColumn>
    <tableColumn id="5" xr3:uid="{70E06FB2-B3B9-4456-B815-463AEB4413B6}" name="Upper Confidence Bound(Aircraft overhauls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="115" zoomScaleNormal="115" workbookViewId="0">
      <selection activeCell="F13" sqref="F13"/>
    </sheetView>
  </sheetViews>
  <sheetFormatPr defaultRowHeight="15" x14ac:dyDescent="0.25"/>
  <cols>
    <col min="2" max="2" width="16.85546875" bestFit="1" customWidth="1"/>
    <col min="3" max="4" width="2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F1">
        <v>0.5</v>
      </c>
    </row>
    <row r="2" spans="1:6" x14ac:dyDescent="0.25">
      <c r="A2">
        <v>2005</v>
      </c>
      <c r="B2">
        <v>147</v>
      </c>
      <c r="C2" t="e">
        <v>#N/A</v>
      </c>
      <c r="D2">
        <v>147</v>
      </c>
    </row>
    <row r="3" spans="1:6" x14ac:dyDescent="0.25">
      <c r="A3">
        <v>2006</v>
      </c>
      <c r="B3">
        <v>175</v>
      </c>
      <c r="C3" t="e">
        <v>#N/A</v>
      </c>
      <c r="D3">
        <f>($F$1*B3)+((1-$F$1)*D2)</f>
        <v>161</v>
      </c>
    </row>
    <row r="4" spans="1:6" x14ac:dyDescent="0.25">
      <c r="A4">
        <v>2007</v>
      </c>
      <c r="B4">
        <v>150</v>
      </c>
      <c r="C4">
        <v>157.33333333333334</v>
      </c>
      <c r="D4">
        <f t="shared" ref="D4:D17" si="0">($F$1*B4)+((1-$F$1)*D3)</f>
        <v>155.5</v>
      </c>
    </row>
    <row r="5" spans="1:6" x14ac:dyDescent="0.25">
      <c r="A5">
        <v>2008</v>
      </c>
      <c r="B5">
        <v>191</v>
      </c>
      <c r="C5">
        <v>172</v>
      </c>
      <c r="D5">
        <f t="shared" si="0"/>
        <v>173.25</v>
      </c>
    </row>
    <row r="6" spans="1:6" x14ac:dyDescent="0.25">
      <c r="A6">
        <v>2009</v>
      </c>
      <c r="B6">
        <v>188</v>
      </c>
      <c r="C6">
        <v>176.33333333333334</v>
      </c>
      <c r="D6">
        <f t="shared" si="0"/>
        <v>180.625</v>
      </c>
    </row>
    <row r="7" spans="1:6" x14ac:dyDescent="0.25">
      <c r="A7">
        <v>2010</v>
      </c>
      <c r="B7">
        <v>179</v>
      </c>
      <c r="C7">
        <v>186</v>
      </c>
      <c r="D7">
        <f t="shared" si="0"/>
        <v>179.8125</v>
      </c>
    </row>
    <row r="8" spans="1:6" x14ac:dyDescent="0.25">
      <c r="A8">
        <v>2011</v>
      </c>
      <c r="B8">
        <v>201</v>
      </c>
      <c r="C8">
        <v>189.33333333333334</v>
      </c>
      <c r="D8">
        <f t="shared" si="0"/>
        <v>190.40625</v>
      </c>
    </row>
    <row r="9" spans="1:6" x14ac:dyDescent="0.25">
      <c r="A9">
        <v>2012</v>
      </c>
      <c r="B9">
        <v>220</v>
      </c>
      <c r="C9">
        <v>200</v>
      </c>
      <c r="D9">
        <f t="shared" si="0"/>
        <v>205.203125</v>
      </c>
    </row>
    <row r="10" spans="1:6" x14ac:dyDescent="0.25">
      <c r="A10">
        <v>2013</v>
      </c>
      <c r="B10">
        <v>209</v>
      </c>
      <c r="C10">
        <v>210</v>
      </c>
      <c r="D10">
        <f t="shared" si="0"/>
        <v>207.1015625</v>
      </c>
    </row>
    <row r="11" spans="1:6" x14ac:dyDescent="0.25">
      <c r="A11">
        <v>2014</v>
      </c>
      <c r="B11">
        <v>220</v>
      </c>
      <c r="C11">
        <v>216.33333333333334</v>
      </c>
      <c r="D11">
        <f t="shared" si="0"/>
        <v>213.55078125</v>
      </c>
    </row>
    <row r="12" spans="1:6" x14ac:dyDescent="0.25">
      <c r="A12">
        <v>2015</v>
      </c>
      <c r="B12">
        <v>240</v>
      </c>
      <c r="C12">
        <v>223</v>
      </c>
      <c r="D12">
        <f t="shared" si="0"/>
        <v>226.775390625</v>
      </c>
    </row>
    <row r="13" spans="1:6" x14ac:dyDescent="0.25">
      <c r="A13">
        <v>2016</v>
      </c>
      <c r="B13">
        <v>235</v>
      </c>
      <c r="C13">
        <v>231.66666666666666</v>
      </c>
      <c r="D13">
        <f t="shared" si="0"/>
        <v>230.8876953125</v>
      </c>
    </row>
    <row r="14" spans="1:6" x14ac:dyDescent="0.25">
      <c r="A14">
        <v>2017</v>
      </c>
      <c r="B14">
        <v>261</v>
      </c>
      <c r="C14">
        <v>245.33333333333334</v>
      </c>
      <c r="D14">
        <f t="shared" si="0"/>
        <v>245.94384765625</v>
      </c>
    </row>
    <row r="15" spans="1:6" x14ac:dyDescent="0.25">
      <c r="A15">
        <v>2018</v>
      </c>
      <c r="B15">
        <v>270</v>
      </c>
      <c r="C15">
        <v>255.33333333333334</v>
      </c>
      <c r="D15">
        <f t="shared" si="0"/>
        <v>257.971923828125</v>
      </c>
    </row>
    <row r="16" spans="1:6" x14ac:dyDescent="0.25">
      <c r="A16">
        <v>2019</v>
      </c>
      <c r="B16">
        <v>272</v>
      </c>
      <c r="C16">
        <v>267.66666666666669</v>
      </c>
      <c r="D16">
        <f t="shared" si="0"/>
        <v>264.9859619140625</v>
      </c>
    </row>
    <row r="17" spans="1:4" x14ac:dyDescent="0.25">
      <c r="A17">
        <v>2020</v>
      </c>
      <c r="B17">
        <v>280</v>
      </c>
      <c r="C17">
        <v>274</v>
      </c>
      <c r="D17">
        <f t="shared" si="0"/>
        <v>272.49298095703125</v>
      </c>
    </row>
    <row r="18" spans="1:4" x14ac:dyDescent="0.25">
      <c r="D18" s="1"/>
    </row>
    <row r="19" spans="1:4" x14ac:dyDescent="0.25">
      <c r="D19" s="1"/>
    </row>
    <row r="20" spans="1:4" x14ac:dyDescent="0.25">
      <c r="D20" s="1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69F4A09-7E07-4BA3-BAA5-80BCAF6CF2BE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'moving average'!E4</xm:f>
              <xm:sqref>G11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B40A-D9F7-4553-A730-04A202C4D573}">
  <dimension ref="A1:E23"/>
  <sheetViews>
    <sheetView tabSelected="1" zoomScale="85" zoomScaleNormal="85" workbookViewId="0">
      <selection activeCell="I25" sqref="I25"/>
    </sheetView>
  </sheetViews>
  <sheetFormatPr defaultRowHeight="15" x14ac:dyDescent="0.25"/>
  <cols>
    <col min="2" max="2" width="18.85546875" customWidth="1"/>
    <col min="3" max="3" width="27.7109375" customWidth="1"/>
    <col min="4" max="4" width="42.42578125" customWidth="1"/>
    <col min="5" max="5" width="42.5703125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>
        <v>2005</v>
      </c>
      <c r="B2">
        <v>147</v>
      </c>
    </row>
    <row r="3" spans="1:5" x14ac:dyDescent="0.25">
      <c r="A3">
        <v>2006</v>
      </c>
      <c r="B3">
        <v>175</v>
      </c>
    </row>
    <row r="4" spans="1:5" x14ac:dyDescent="0.25">
      <c r="A4">
        <v>2007</v>
      </c>
      <c r="B4">
        <v>150</v>
      </c>
    </row>
    <row r="5" spans="1:5" x14ac:dyDescent="0.25">
      <c r="A5">
        <v>2008</v>
      </c>
      <c r="B5">
        <v>191</v>
      </c>
    </row>
    <row r="6" spans="1:5" x14ac:dyDescent="0.25">
      <c r="A6">
        <v>2009</v>
      </c>
      <c r="B6">
        <v>188</v>
      </c>
    </row>
    <row r="7" spans="1:5" x14ac:dyDescent="0.25">
      <c r="A7">
        <v>2010</v>
      </c>
      <c r="B7">
        <v>179</v>
      </c>
    </row>
    <row r="8" spans="1:5" x14ac:dyDescent="0.25">
      <c r="A8">
        <v>2011</v>
      </c>
      <c r="B8">
        <v>201</v>
      </c>
    </row>
    <row r="9" spans="1:5" x14ac:dyDescent="0.25">
      <c r="A9">
        <v>2012</v>
      </c>
      <c r="B9">
        <v>220</v>
      </c>
    </row>
    <row r="10" spans="1:5" x14ac:dyDescent="0.25">
      <c r="A10">
        <v>2013</v>
      </c>
      <c r="B10">
        <v>209</v>
      </c>
    </row>
    <row r="11" spans="1:5" x14ac:dyDescent="0.25">
      <c r="A11">
        <v>2014</v>
      </c>
      <c r="B11">
        <v>220</v>
      </c>
    </row>
    <row r="12" spans="1:5" x14ac:dyDescent="0.25">
      <c r="A12">
        <v>2015</v>
      </c>
      <c r="B12">
        <v>240</v>
      </c>
    </row>
    <row r="13" spans="1:5" x14ac:dyDescent="0.25">
      <c r="A13">
        <v>2016</v>
      </c>
      <c r="B13">
        <v>235</v>
      </c>
    </row>
    <row r="14" spans="1:5" x14ac:dyDescent="0.25">
      <c r="A14">
        <v>2017</v>
      </c>
      <c r="B14">
        <v>261</v>
      </c>
    </row>
    <row r="15" spans="1:5" x14ac:dyDescent="0.25">
      <c r="A15">
        <v>2018</v>
      </c>
      <c r="B15">
        <v>270</v>
      </c>
    </row>
    <row r="16" spans="1:5" x14ac:dyDescent="0.25">
      <c r="A16">
        <v>2019</v>
      </c>
      <c r="B16">
        <v>272</v>
      </c>
    </row>
    <row r="17" spans="1:5" x14ac:dyDescent="0.25">
      <c r="A17">
        <v>2020</v>
      </c>
      <c r="B17">
        <v>280</v>
      </c>
      <c r="C17">
        <v>280</v>
      </c>
      <c r="D17" s="2">
        <v>280</v>
      </c>
      <c r="E17" s="2">
        <v>280</v>
      </c>
    </row>
    <row r="18" spans="1:5" x14ac:dyDescent="0.25">
      <c r="A18">
        <v>2021</v>
      </c>
      <c r="C18">
        <f>_xlfn.FORECAST.ETS(A18,$B$2:$B$17,$A$2:$A$17,1,1)</f>
        <v>299.48316826760106</v>
      </c>
      <c r="D18" s="2">
        <f>C18-_xlfn.FORECAST.ETS.CONFINT(A18,$B$2:$B$17,$A$2:$A$17,0.95,1,1)</f>
        <v>284.92176051010262</v>
      </c>
      <c r="E18" s="2">
        <f>C18+_xlfn.FORECAST.ETS.CONFINT(A18,$B$2:$B$17,$A$2:$A$17,0.95,1,1)</f>
        <v>314.0445760250995</v>
      </c>
    </row>
    <row r="19" spans="1:5" x14ac:dyDescent="0.25">
      <c r="A19">
        <v>2022</v>
      </c>
      <c r="C19">
        <f>_xlfn.FORECAST.ETS(A19,$B$2:$B$17,$A$2:$A$17,1,1)</f>
        <v>285.19923147077128</v>
      </c>
      <c r="D19" s="2">
        <f>C19-_xlfn.FORECAST.ETS.CONFINT(A19,$B$2:$B$17,$A$2:$A$17,0.95,1,1)</f>
        <v>270.52086296888774</v>
      </c>
      <c r="E19" s="2">
        <f>C19+_xlfn.FORECAST.ETS.CONFINT(A19,$B$2:$B$17,$A$2:$A$17,0.95,1,1)</f>
        <v>299.87759997265482</v>
      </c>
    </row>
    <row r="20" spans="1:5" x14ac:dyDescent="0.25">
      <c r="A20">
        <v>2023</v>
      </c>
      <c r="C20">
        <f>_xlfn.FORECAST.ETS(A20,$B$2:$B$17,$A$2:$A$17,1,1)</f>
        <v>310.48135545850397</v>
      </c>
      <c r="D20" s="2">
        <f>C20-_xlfn.FORECAST.ETS.CONFINT(A20,$B$2:$B$17,$A$2:$A$17,0.95,1,1)</f>
        <v>295.68512361739027</v>
      </c>
      <c r="E20" s="2">
        <f>C20+_xlfn.FORECAST.ETS.CONFINT(A20,$B$2:$B$17,$A$2:$A$17,0.95,1,1)</f>
        <v>325.27758729961766</v>
      </c>
    </row>
    <row r="21" spans="1:5" x14ac:dyDescent="0.25">
      <c r="A21">
        <v>2024</v>
      </c>
      <c r="C21">
        <f>_xlfn.FORECAST.ETS(A21,$B$2:$B$17,$A$2:$A$17,1,1)</f>
        <v>326.06157141602881</v>
      </c>
      <c r="D21" s="2">
        <f>C21-_xlfn.FORECAST.ETS.CONFINT(A21,$B$2:$B$17,$A$2:$A$17,0.95,1,1)</f>
        <v>311.14473993724749</v>
      </c>
      <c r="E21" s="2">
        <f>C21+_xlfn.FORECAST.ETS.CONFINT(A21,$B$2:$B$17,$A$2:$A$17,0.95,1,1)</f>
        <v>340.97840289481013</v>
      </c>
    </row>
    <row r="22" spans="1:5" x14ac:dyDescent="0.25">
      <c r="A22">
        <v>2025</v>
      </c>
      <c r="C22">
        <f>_xlfn.FORECAST.ETS(A22,$B$2:$B$17,$A$2:$A$17,1,1)</f>
        <v>311.77763461919903</v>
      </c>
      <c r="D22" s="2">
        <f>C22-_xlfn.FORECAST.ETS.CONFINT(A22,$B$2:$B$17,$A$2:$A$17,0.95,1,1)</f>
        <v>296.74117073846111</v>
      </c>
      <c r="E22" s="2">
        <f>C22+_xlfn.FORECAST.ETS.CONFINT(A22,$B$2:$B$17,$A$2:$A$17,0.95,1,1)</f>
        <v>326.81409849993696</v>
      </c>
    </row>
    <row r="23" spans="1:5" x14ac:dyDescent="0.25">
      <c r="A23">
        <v>2026</v>
      </c>
      <c r="C23">
        <f>_xlfn.FORECAST.ETS(A23,$B$2:$B$17,$A$2:$A$17,1,1)</f>
        <v>337.05975860693178</v>
      </c>
      <c r="D23" s="2">
        <f>C23-_xlfn.FORECAST.ETS.CONFINT(A23,$B$2:$B$17,$A$2:$A$17,0.95,1,1)</f>
        <v>321.90278094855165</v>
      </c>
      <c r="E23" s="2">
        <f>C23+_xlfn.FORECAST.ETS.CONFINT(A23,$B$2:$B$17,$A$2:$A$17,0.95,1,1)</f>
        <v>352.21673626531191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H22" sqref="H22"/>
    </sheetView>
  </sheetViews>
  <sheetFormatPr defaultRowHeight="15" x14ac:dyDescent="0.25"/>
  <cols>
    <col min="2" max="2" width="16.85546875" bestFit="1" customWidth="1"/>
    <col min="3" max="4" width="22.28515625" bestFit="1" customWidth="1"/>
  </cols>
  <sheetData>
    <row r="1" spans="1:4" x14ac:dyDescent="0.25">
      <c r="A1" t="s">
        <v>0</v>
      </c>
      <c r="B1" t="s">
        <v>1</v>
      </c>
      <c r="C1" t="s">
        <v>3</v>
      </c>
    </row>
    <row r="2" spans="1:4" x14ac:dyDescent="0.25">
      <c r="A2">
        <v>2005</v>
      </c>
      <c r="B2">
        <v>147</v>
      </c>
      <c r="C2">
        <v>147</v>
      </c>
    </row>
    <row r="3" spans="1:4" x14ac:dyDescent="0.25">
      <c r="A3">
        <v>2006</v>
      </c>
      <c r="B3">
        <v>175</v>
      </c>
    </row>
    <row r="4" spans="1:4" x14ac:dyDescent="0.25">
      <c r="A4">
        <v>2007</v>
      </c>
      <c r="B4">
        <v>150</v>
      </c>
      <c r="D4" s="1"/>
    </row>
    <row r="5" spans="1:4" x14ac:dyDescent="0.25">
      <c r="A5">
        <v>2008</v>
      </c>
      <c r="B5">
        <v>191</v>
      </c>
      <c r="D5" s="1"/>
    </row>
    <row r="6" spans="1:4" x14ac:dyDescent="0.25">
      <c r="A6">
        <v>2009</v>
      </c>
      <c r="B6">
        <v>188</v>
      </c>
      <c r="D6" s="1"/>
    </row>
    <row r="7" spans="1:4" x14ac:dyDescent="0.25">
      <c r="A7">
        <v>2010</v>
      </c>
      <c r="B7">
        <v>179</v>
      </c>
      <c r="D7" s="1"/>
    </row>
    <row r="8" spans="1:4" x14ac:dyDescent="0.25">
      <c r="A8">
        <v>2011</v>
      </c>
      <c r="B8">
        <v>201</v>
      </c>
      <c r="D8" s="1"/>
    </row>
    <row r="9" spans="1:4" x14ac:dyDescent="0.25">
      <c r="A9">
        <v>2012</v>
      </c>
      <c r="B9">
        <v>220</v>
      </c>
      <c r="D9" s="1"/>
    </row>
    <row r="10" spans="1:4" x14ac:dyDescent="0.25">
      <c r="A10">
        <v>2013</v>
      </c>
      <c r="B10">
        <v>209</v>
      </c>
      <c r="D10" s="1"/>
    </row>
    <row r="11" spans="1:4" x14ac:dyDescent="0.25">
      <c r="A11">
        <v>2014</v>
      </c>
      <c r="B11">
        <v>220</v>
      </c>
      <c r="D11" s="1"/>
    </row>
    <row r="12" spans="1:4" x14ac:dyDescent="0.25">
      <c r="A12">
        <v>2015</v>
      </c>
      <c r="B12">
        <v>240</v>
      </c>
      <c r="D12" s="1"/>
    </row>
    <row r="13" spans="1:4" x14ac:dyDescent="0.25">
      <c r="A13">
        <v>2016</v>
      </c>
      <c r="B13">
        <v>235</v>
      </c>
      <c r="D13" s="1"/>
    </row>
    <row r="14" spans="1:4" x14ac:dyDescent="0.25">
      <c r="A14">
        <v>2017</v>
      </c>
      <c r="B14">
        <v>261</v>
      </c>
      <c r="D14" s="1"/>
    </row>
    <row r="15" spans="1:4" x14ac:dyDescent="0.25">
      <c r="A15">
        <v>2018</v>
      </c>
      <c r="B15">
        <v>270</v>
      </c>
      <c r="D15" s="1"/>
    </row>
    <row r="16" spans="1:4" x14ac:dyDescent="0.25">
      <c r="A16">
        <v>2019</v>
      </c>
      <c r="B16">
        <v>272</v>
      </c>
      <c r="D16" s="1"/>
    </row>
    <row r="17" spans="1:4" x14ac:dyDescent="0.25">
      <c r="A17">
        <v>2020</v>
      </c>
      <c r="B17">
        <v>280</v>
      </c>
      <c r="D17" s="1"/>
    </row>
    <row r="18" spans="1:4" x14ac:dyDescent="0.25">
      <c r="D18" s="1"/>
    </row>
    <row r="19" spans="1:4" x14ac:dyDescent="0.25">
      <c r="D19" s="1"/>
    </row>
    <row r="20" spans="1:4" x14ac:dyDescent="0.25">
      <c r="D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63039F-CF36-4883-869B-F0B7E8399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F5223E-231D-44E9-8BF9-07FDF6EAC2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A63CFB-43AC-4EE3-A487-1CF89AC2620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moving average</vt:lpstr>
      <vt:lpstr>forecast</vt:lpstr>
      <vt:lpstr>exponential smoothing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Tardis</dc:creator>
  <cp:keywords/>
  <dc:description/>
  <cp:lastModifiedBy>Gielo Joseph Fernandez</cp:lastModifiedBy>
  <cp:revision/>
  <dcterms:created xsi:type="dcterms:W3CDTF">2021-09-27T10:10:49Z</dcterms:created>
  <dcterms:modified xsi:type="dcterms:W3CDTF">2025-03-13T21:49:41Z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</Properties>
</file>