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gielofernandez/Desktop/trash/Class/MAM_repo/Project Management/assessment2/"/>
    </mc:Choice>
  </mc:AlternateContent>
  <xr:revisionPtr revIDLastSave="0" documentId="13_ncr:1_{1637D52C-01AF-0349-8176-AF3715CD3B8C}" xr6:coauthVersionLast="47" xr6:coauthVersionMax="47" xr10:uidLastSave="{00000000-0000-0000-0000-000000000000}"/>
  <bookViews>
    <workbookView xWindow="0" yWindow="500" windowWidth="27320" windowHeight="13560" activeTab="7" xr2:uid="{43E187CB-46D0-B84A-BE02-E5C63D4D6FE0}"/>
  </bookViews>
  <sheets>
    <sheet name="Sheet1" sheetId="1" r:id="rId1"/>
    <sheet name="Sheet12" sheetId="13" r:id="rId2"/>
    <sheet name="Sheet18" sheetId="19" r:id="rId3"/>
    <sheet name="Sheet17" sheetId="18" r:id="rId4"/>
    <sheet name="Sheet11" sheetId="12" r:id="rId5"/>
    <sheet name="Sheet16" sheetId="17" r:id="rId6"/>
    <sheet name="Sheet14" sheetId="15" r:id="rId7"/>
    <sheet name="Sheet0" sheetId="20" r:id="rId8"/>
    <sheet name="Sheet7" sheetId="8" r:id="rId9"/>
    <sheet name="Sheet8" sheetId="9" r:id="rId10"/>
    <sheet name="Sheet10" sheetId="11" r:id="rId11"/>
    <sheet name="Annual Salary" sheetId="2" r:id="rId12"/>
    <sheet name="Sheet3" sheetId="3" r:id="rId13"/>
    <sheet name="Sheet4" sheetId="4" r:id="rId14"/>
    <sheet name="Sheet5" sheetId="6" r:id="rId15"/>
    <sheet name="Sheet2" sheetId="5" r:id="rId16"/>
    <sheet name="Sheet6" sheetId="7" r:id="rId17"/>
    <sheet name="Sheet9" sheetId="10" r:id="rId18"/>
    <sheet name="Sheet15" sheetId="16"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9" i="20" l="1"/>
  <c r="E38" i="20"/>
  <c r="E37" i="20"/>
  <c r="E36" i="20"/>
  <c r="E35" i="20"/>
  <c r="E34" i="20"/>
  <c r="E33" i="20"/>
  <c r="E32" i="20"/>
  <c r="E31" i="20"/>
  <c r="E30" i="20"/>
  <c r="E29" i="20"/>
  <c r="E28" i="20"/>
  <c r="E27" i="20"/>
  <c r="E26" i="20"/>
  <c r="E25" i="20"/>
  <c r="E24" i="20"/>
  <c r="E23" i="20"/>
  <c r="E22" i="20"/>
  <c r="E21" i="20"/>
  <c r="E20" i="20"/>
  <c r="E19" i="20"/>
  <c r="E18" i="20"/>
  <c r="AG74" i="1"/>
  <c r="AG73" i="1"/>
  <c r="AG72" i="1"/>
  <c r="AG71" i="1"/>
  <c r="AG70" i="1"/>
  <c r="AG69" i="1"/>
  <c r="AG68" i="1"/>
  <c r="AG67" i="1"/>
  <c r="AG66" i="1"/>
  <c r="AG65" i="1"/>
  <c r="AG64" i="1"/>
  <c r="AG63" i="1"/>
  <c r="AG62" i="1"/>
  <c r="AG61" i="1"/>
  <c r="AG60" i="1"/>
  <c r="AG59" i="1"/>
  <c r="AG58" i="1"/>
  <c r="AG57" i="1"/>
  <c r="AG56" i="1"/>
  <c r="AG55" i="1"/>
  <c r="AG54" i="1"/>
  <c r="AF73" i="1"/>
  <c r="AF72" i="1"/>
  <c r="AF71" i="1"/>
  <c r="AF70" i="1"/>
  <c r="AF69" i="1"/>
  <c r="AF68" i="1"/>
  <c r="AF67" i="1"/>
  <c r="AF66" i="1"/>
  <c r="AF65" i="1"/>
  <c r="AF64" i="1"/>
  <c r="AF63" i="1"/>
  <c r="AF62" i="1"/>
  <c r="AF61" i="1"/>
  <c r="AF60" i="1"/>
  <c r="AF59" i="1"/>
  <c r="AF58" i="1"/>
  <c r="AF57" i="1"/>
  <c r="AF56" i="1"/>
  <c r="AF55" i="1"/>
  <c r="AF54" i="1"/>
  <c r="AE73" i="1"/>
  <c r="AE72" i="1"/>
  <c r="AE71" i="1"/>
  <c r="AE70" i="1"/>
  <c r="AE69" i="1"/>
  <c r="AE68" i="1"/>
  <c r="AE67" i="1"/>
  <c r="AE66" i="1"/>
  <c r="AE65" i="1"/>
  <c r="AE64" i="1"/>
  <c r="AE63" i="1"/>
  <c r="AE62" i="1"/>
  <c r="AE61" i="1"/>
  <c r="AE60" i="1"/>
  <c r="AE59" i="1"/>
  <c r="AE58" i="1"/>
  <c r="AE57" i="1"/>
  <c r="AE56" i="1"/>
  <c r="AE55" i="1"/>
  <c r="AE54" i="1"/>
  <c r="AE94" i="1"/>
  <c r="AG89" i="1"/>
  <c r="AE93" i="1" s="1"/>
  <c r="Z27" i="1"/>
  <c r="G17" i="3"/>
  <c r="F15" i="2"/>
  <c r="F14" i="2"/>
  <c r="F13" i="2"/>
  <c r="F12" i="2"/>
  <c r="F11" i="2"/>
  <c r="F10" i="2"/>
  <c r="F9" i="2"/>
  <c r="F8" i="2"/>
  <c r="F7" i="2"/>
  <c r="F6" i="2"/>
  <c r="F5" i="2"/>
  <c r="F4" i="2"/>
  <c r="F21" i="2"/>
  <c r="F22" i="2"/>
  <c r="F23" i="2"/>
  <c r="D23" i="1"/>
  <c r="C23" i="1"/>
  <c r="V484" i="1"/>
  <c r="Z446" i="1"/>
  <c r="Z445" i="1"/>
  <c r="Z444" i="1"/>
  <c r="Z443" i="1"/>
  <c r="Z442" i="1"/>
  <c r="Z441" i="1"/>
  <c r="Z440" i="1"/>
  <c r="Z437" i="1"/>
  <c r="Z436" i="1"/>
  <c r="Z435" i="1"/>
  <c r="Z434" i="1"/>
  <c r="Z433" i="1"/>
  <c r="Z432" i="1"/>
  <c r="Z431" i="1"/>
  <c r="Z430" i="1"/>
  <c r="Z429" i="1"/>
  <c r="Z428" i="1"/>
  <c r="Z427" i="1"/>
  <c r="Z426" i="1"/>
  <c r="Z425" i="1"/>
  <c r="Z424" i="1"/>
  <c r="Z423" i="1"/>
  <c r="Z422" i="1"/>
  <c r="Z421" i="1"/>
  <c r="Z420" i="1"/>
  <c r="Z419" i="1"/>
  <c r="Z418" i="1"/>
  <c r="Z408" i="1"/>
  <c r="Z407" i="1"/>
  <c r="Z406" i="1"/>
  <c r="Z405" i="1"/>
  <c r="Z404" i="1"/>
  <c r="Z403" i="1"/>
  <c r="Z402" i="1"/>
  <c r="Z399" i="1"/>
  <c r="Z398" i="1"/>
  <c r="Z397" i="1"/>
  <c r="Z396" i="1"/>
  <c r="Z395" i="1"/>
  <c r="Z394" i="1"/>
  <c r="Z393" i="1"/>
  <c r="Z392" i="1"/>
  <c r="Z391" i="1"/>
  <c r="Z390" i="1"/>
  <c r="Z389" i="1"/>
  <c r="Z388" i="1"/>
  <c r="Z387" i="1"/>
  <c r="Z386" i="1"/>
  <c r="Z385" i="1"/>
  <c r="Z384" i="1"/>
  <c r="Z383" i="1"/>
  <c r="Z382" i="1"/>
  <c r="Z381" i="1"/>
  <c r="Z380" i="1"/>
  <c r="Z372" i="1"/>
  <c r="Z371" i="1"/>
  <c r="Z370" i="1"/>
  <c r="Z369" i="1"/>
  <c r="Z368" i="1"/>
  <c r="Z367" i="1"/>
  <c r="Z366" i="1"/>
  <c r="Z363" i="1"/>
  <c r="Z362" i="1"/>
  <c r="Z361" i="1"/>
  <c r="Z360" i="1"/>
  <c r="Z359" i="1"/>
  <c r="Z358" i="1"/>
  <c r="Z357" i="1"/>
  <c r="Z356" i="1"/>
  <c r="Z355" i="1"/>
  <c r="Z354" i="1"/>
  <c r="Z353" i="1"/>
  <c r="Z352" i="1"/>
  <c r="Z351" i="1"/>
  <c r="Z350" i="1"/>
  <c r="Z349" i="1"/>
  <c r="Z348" i="1"/>
  <c r="Z347" i="1"/>
  <c r="Z346" i="1"/>
  <c r="Z345" i="1"/>
  <c r="Z344" i="1"/>
  <c r="Z334" i="1"/>
  <c r="Z333" i="1"/>
  <c r="Z332" i="1"/>
  <c r="Z331" i="1"/>
  <c r="Z330" i="1"/>
  <c r="Z329" i="1"/>
  <c r="Z328" i="1"/>
  <c r="Z325" i="1"/>
  <c r="Z324" i="1"/>
  <c r="Z323" i="1"/>
  <c r="Z322" i="1"/>
  <c r="Z321" i="1"/>
  <c r="Z320" i="1"/>
  <c r="Z319" i="1"/>
  <c r="Z318" i="1"/>
  <c r="Z317" i="1"/>
  <c r="Z316" i="1"/>
  <c r="Z315" i="1"/>
  <c r="Z314" i="1"/>
  <c r="Z313" i="1"/>
  <c r="Z312" i="1"/>
  <c r="Z311" i="1"/>
  <c r="Z310" i="1"/>
  <c r="Z309" i="1"/>
  <c r="Z308" i="1"/>
  <c r="Z307" i="1"/>
  <c r="Z306" i="1"/>
  <c r="Z294" i="1"/>
  <c r="Z293" i="1"/>
  <c r="Z292" i="1"/>
  <c r="Z291" i="1"/>
  <c r="Z290" i="1"/>
  <c r="Z289" i="1"/>
  <c r="Z288" i="1"/>
  <c r="Z285" i="1"/>
  <c r="Z284" i="1"/>
  <c r="Z283" i="1"/>
  <c r="Z282" i="1"/>
  <c r="Z281" i="1"/>
  <c r="Z280" i="1"/>
  <c r="Z279" i="1"/>
  <c r="Z278" i="1"/>
  <c r="Z277" i="1"/>
  <c r="Z276" i="1"/>
  <c r="Z275" i="1"/>
  <c r="Z274" i="1"/>
  <c r="Z273" i="1"/>
  <c r="Z272" i="1"/>
  <c r="Z271" i="1"/>
  <c r="Z270" i="1"/>
  <c r="Z269" i="1"/>
  <c r="Z268" i="1"/>
  <c r="Z267" i="1"/>
  <c r="Z266" i="1"/>
  <c r="Z258" i="1"/>
  <c r="Z257" i="1"/>
  <c r="Z256" i="1"/>
  <c r="Z255" i="1"/>
  <c r="Z254" i="1"/>
  <c r="Z253" i="1"/>
  <c r="Z252" i="1"/>
  <c r="Z249" i="1"/>
  <c r="Z248" i="1"/>
  <c r="Z247" i="1"/>
  <c r="Z246" i="1"/>
  <c r="Z245" i="1"/>
  <c r="Z244" i="1"/>
  <c r="Z243" i="1"/>
  <c r="Z242" i="1"/>
  <c r="Z241" i="1"/>
  <c r="Z240" i="1"/>
  <c r="Z239" i="1"/>
  <c r="Z238" i="1"/>
  <c r="Z237" i="1"/>
  <c r="Z236" i="1"/>
  <c r="Z235" i="1"/>
  <c r="Z234" i="1"/>
  <c r="Z233" i="1"/>
  <c r="Z232" i="1"/>
  <c r="Z231" i="1"/>
  <c r="Z230" i="1"/>
  <c r="Z221" i="1"/>
  <c r="Z220" i="1"/>
  <c r="Z219" i="1"/>
  <c r="Z218" i="1"/>
  <c r="Z217" i="1"/>
  <c r="Z216" i="1"/>
  <c r="Z215" i="1"/>
  <c r="Z212" i="1"/>
  <c r="Z211" i="1"/>
  <c r="Z210" i="1"/>
  <c r="Z209" i="1"/>
  <c r="Z208" i="1"/>
  <c r="Z207" i="1"/>
  <c r="Z206" i="1"/>
  <c r="Z205" i="1"/>
  <c r="Z204" i="1"/>
  <c r="Z203" i="1"/>
  <c r="Z202" i="1"/>
  <c r="Z201" i="1"/>
  <c r="Z200" i="1"/>
  <c r="Z199" i="1"/>
  <c r="Z198" i="1"/>
  <c r="Z197" i="1"/>
  <c r="Z196" i="1"/>
  <c r="Z195" i="1"/>
  <c r="Z194" i="1"/>
  <c r="Z193" i="1"/>
  <c r="Z184" i="1"/>
  <c r="Z183" i="1"/>
  <c r="Z182" i="1"/>
  <c r="Z181" i="1"/>
  <c r="Z180" i="1"/>
  <c r="Z179" i="1"/>
  <c r="Z178" i="1"/>
  <c r="Z175" i="1"/>
  <c r="Z174" i="1"/>
  <c r="Z173" i="1"/>
  <c r="Z172" i="1"/>
  <c r="Z171" i="1"/>
  <c r="Z170" i="1"/>
  <c r="Z169" i="1"/>
  <c r="Z168" i="1"/>
  <c r="Z167" i="1"/>
  <c r="Z166" i="1"/>
  <c r="Z165" i="1"/>
  <c r="Z164" i="1"/>
  <c r="Z163" i="1"/>
  <c r="Z162" i="1"/>
  <c r="Z161" i="1"/>
  <c r="Z160" i="1"/>
  <c r="Z159" i="1"/>
  <c r="Z158" i="1"/>
  <c r="Z157" i="1"/>
  <c r="Z156" i="1"/>
  <c r="Z148" i="1"/>
  <c r="Z147" i="1"/>
  <c r="Z146" i="1"/>
  <c r="Z145" i="1"/>
  <c r="Z144" i="1"/>
  <c r="Z143" i="1"/>
  <c r="Z142" i="1"/>
  <c r="Z139" i="1"/>
  <c r="Z138" i="1"/>
  <c r="Z137" i="1"/>
  <c r="Z136" i="1"/>
  <c r="Z135" i="1"/>
  <c r="Z134" i="1"/>
  <c r="Z133" i="1"/>
  <c r="Z132" i="1"/>
  <c r="Z131" i="1"/>
  <c r="Z130" i="1"/>
  <c r="Z129" i="1"/>
  <c r="Z128" i="1"/>
  <c r="Z127" i="1"/>
  <c r="Z126" i="1"/>
  <c r="Z125" i="1"/>
  <c r="Z124" i="1"/>
  <c r="Z123" i="1"/>
  <c r="Z122" i="1"/>
  <c r="Z121" i="1"/>
  <c r="Z120" i="1"/>
  <c r="Z111" i="1"/>
  <c r="Z110" i="1"/>
  <c r="Z109" i="1"/>
  <c r="Z108" i="1"/>
  <c r="Z107" i="1"/>
  <c r="Z106" i="1"/>
  <c r="Z105" i="1"/>
  <c r="Z102" i="1"/>
  <c r="Z101" i="1"/>
  <c r="Z100" i="1"/>
  <c r="Z99" i="1"/>
  <c r="Z98" i="1"/>
  <c r="Z97" i="1"/>
  <c r="Z96" i="1"/>
  <c r="Z95" i="1"/>
  <c r="Z94" i="1"/>
  <c r="Z93" i="1"/>
  <c r="Z92" i="1"/>
  <c r="Z91" i="1"/>
  <c r="Z90" i="1"/>
  <c r="Z89" i="1"/>
  <c r="Z88" i="1"/>
  <c r="Z87" i="1"/>
  <c r="Z86" i="1"/>
  <c r="Z85" i="1"/>
  <c r="Z84" i="1"/>
  <c r="Z83" i="1"/>
  <c r="Z73" i="1"/>
  <c r="Z72" i="1"/>
  <c r="Z71" i="1"/>
  <c r="Z70" i="1"/>
  <c r="Z69" i="1"/>
  <c r="Z68" i="1"/>
  <c r="Z64" i="1"/>
  <c r="Z63" i="1"/>
  <c r="Z62" i="1"/>
  <c r="Z61" i="1"/>
  <c r="Z60" i="1"/>
  <c r="Z59" i="1"/>
  <c r="Z58" i="1"/>
  <c r="Z57" i="1"/>
  <c r="Z56" i="1"/>
  <c r="Z55" i="1"/>
  <c r="Z54" i="1"/>
  <c r="Z53" i="1"/>
  <c r="Z52" i="1"/>
  <c r="Z51" i="1"/>
  <c r="Z50" i="1"/>
  <c r="Z49" i="1"/>
  <c r="Z48" i="1"/>
  <c r="Z47" i="1"/>
  <c r="Z46" i="1"/>
  <c r="Z45" i="1"/>
  <c r="Z29" i="1"/>
  <c r="Z31" i="1"/>
  <c r="Z28" i="1"/>
  <c r="Z34" i="1"/>
  <c r="Z33" i="1"/>
  <c r="Z32" i="1"/>
  <c r="Z30" i="1"/>
  <c r="Z24" i="1"/>
  <c r="Z23" i="1"/>
  <c r="Z22" i="1"/>
  <c r="Z21" i="1"/>
  <c r="Z20" i="1"/>
  <c r="Z19" i="1"/>
  <c r="Z18" i="1"/>
  <c r="Z17" i="1"/>
  <c r="Z16" i="1"/>
  <c r="Z15" i="1"/>
  <c r="Z14" i="1"/>
  <c r="Z13" i="1"/>
  <c r="Z12" i="1"/>
  <c r="Z11" i="1"/>
  <c r="Z10" i="1"/>
  <c r="Z9" i="1"/>
  <c r="Z8" i="1"/>
  <c r="Z7" i="1"/>
  <c r="Z6" i="1"/>
  <c r="Z5" i="1"/>
  <c r="AF6" i="1" s="1"/>
  <c r="AF13" i="1" s="1"/>
  <c r="AF14" i="1" s="1"/>
  <c r="F23" i="1"/>
  <c r="H25" i="1"/>
  <c r="AE95" i="1" l="1"/>
  <c r="AE96" i="1" s="1"/>
  <c r="Z449" i="1"/>
  <c r="Z450" i="1" s="1"/>
  <c r="Z451" i="1" s="1"/>
  <c r="Z481" i="1" s="1"/>
  <c r="Z411" i="1"/>
  <c r="Z412" i="1" s="1"/>
  <c r="Z413" i="1" s="1"/>
  <c r="Z480" i="1" s="1"/>
  <c r="Z297" i="1"/>
  <c r="Z298" i="1" s="1"/>
  <c r="Z299" i="1" s="1"/>
  <c r="Z477" i="1" s="1"/>
  <c r="Z375" i="1"/>
  <c r="Z376" i="1" s="1"/>
  <c r="Z377" i="1" s="1"/>
  <c r="Z479" i="1" s="1"/>
  <c r="Z337" i="1"/>
  <c r="Z338" i="1" s="1"/>
  <c r="Z339" i="1" s="1"/>
  <c r="Z478" i="1" s="1"/>
  <c r="Z261" i="1"/>
  <c r="Z224" i="1"/>
  <c r="Z225" i="1" s="1"/>
  <c r="Z226" i="1" s="1"/>
  <c r="Z475" i="1" s="1"/>
  <c r="Z187" i="1"/>
  <c r="Z188" i="1" s="1"/>
  <c r="Z189" i="1" s="1"/>
  <c r="Z474" i="1" s="1"/>
  <c r="Z151" i="1"/>
  <c r="Z114" i="1"/>
  <c r="Z115" i="1" s="1"/>
  <c r="Z116" i="1" s="1"/>
  <c r="Z472" i="1" s="1"/>
  <c r="Z76" i="1"/>
  <c r="Z37" i="1"/>
  <c r="Z77" i="1" l="1"/>
  <c r="Z78" i="1" s="1"/>
  <c r="Z471" i="1" s="1"/>
  <c r="Z262" i="1"/>
  <c r="Z263" i="1" s="1"/>
  <c r="Z476" i="1" s="1"/>
  <c r="Z152" i="1"/>
  <c r="Z153" i="1" s="1"/>
  <c r="Z473" i="1" s="1"/>
  <c r="Z453" i="1"/>
  <c r="Z38" i="1"/>
  <c r="Z39" i="1" s="1"/>
  <c r="Z482" i="1" l="1"/>
  <c r="Z454" i="1"/>
  <c r="H18" i="1"/>
  <c r="T10" i="1"/>
  <c r="T13" i="1"/>
  <c r="T12" i="1"/>
  <c r="T11" i="1"/>
  <c r="I11" i="1"/>
  <c r="G11" i="1"/>
  <c r="C13" i="1"/>
</calcChain>
</file>

<file path=xl/sharedStrings.xml><?xml version="1.0" encoding="utf-8"?>
<sst xmlns="http://schemas.openxmlformats.org/spreadsheetml/2006/main" count="1450" uniqueCount="506">
  <si>
    <t>HR Manager</t>
  </si>
  <si>
    <t>Engineering Manager</t>
  </si>
  <si>
    <t>Senior Platforms Engineer</t>
  </si>
  <si>
    <t>Risk Management Specialist</t>
  </si>
  <si>
    <t>Cultural Consultant</t>
  </si>
  <si>
    <t>Senior Product Owner</t>
  </si>
  <si>
    <t>Senior VR Software Engineer 1</t>
  </si>
  <si>
    <t>Associate full stack software Engineer 2</t>
  </si>
  <si>
    <t>Fullstack software engineer Intern 5</t>
  </si>
  <si>
    <t>Senior QA Engineer</t>
  </si>
  <si>
    <t>Senior VR Designer/Content Developer</t>
  </si>
  <si>
    <t>Trainer</t>
  </si>
  <si>
    <t>Senior VR Software Engineer 2</t>
  </si>
  <si>
    <t>Intermediate Full stack software engineer 2</t>
  </si>
  <si>
    <t>Intermediate Full stack software engineer 1</t>
  </si>
  <si>
    <t>Associate full stack software Engineer 1</t>
  </si>
  <si>
    <t>Fullstack software engineer Intern 4</t>
  </si>
  <si>
    <t>Fullstack software engineer Intern 3</t>
  </si>
  <si>
    <t>Fullstack software engineer Intern 2</t>
  </si>
  <si>
    <t>Fullstack software engineer Intern 1</t>
  </si>
  <si>
    <t>VR Licenses</t>
  </si>
  <si>
    <t>Azure Subscription</t>
  </si>
  <si>
    <t>VR Hardware</t>
  </si>
  <si>
    <t>Laptops</t>
  </si>
  <si>
    <t>sprint 0</t>
  </si>
  <si>
    <t>days</t>
  </si>
  <si>
    <t>hours</t>
  </si>
  <si>
    <t>Electricity</t>
  </si>
  <si>
    <t>Rent</t>
  </si>
  <si>
    <t>Accessories</t>
  </si>
  <si>
    <t>Jira</t>
  </si>
  <si>
    <t>Unreal Engine License</t>
  </si>
  <si>
    <t>Github</t>
  </si>
  <si>
    <t>Sprint 0</t>
  </si>
  <si>
    <t>Sprint 1</t>
  </si>
  <si>
    <t>Sprint 2</t>
  </si>
  <si>
    <t>Sprint 3</t>
  </si>
  <si>
    <t>Sprint 4</t>
  </si>
  <si>
    <t>Sprint 5</t>
  </si>
  <si>
    <t>Sprint 6</t>
  </si>
  <si>
    <t>Sprint 7</t>
  </si>
  <si>
    <t>Sprint 8</t>
  </si>
  <si>
    <t>Sprint 9</t>
  </si>
  <si>
    <t>Sprint 10</t>
  </si>
  <si>
    <t>Misscelaneous</t>
  </si>
  <si>
    <t>Annual</t>
  </si>
  <si>
    <t># of weeks</t>
  </si>
  <si>
    <t>per hour</t>
  </si>
  <si>
    <t>per week</t>
  </si>
  <si>
    <t>Rounded</t>
  </si>
  <si>
    <t>Role</t>
  </si>
  <si>
    <t>Pay Rate Per Hour</t>
  </si>
  <si>
    <t>Phase</t>
  </si>
  <si>
    <t>Details</t>
  </si>
  <si>
    <t>Completion Date</t>
  </si>
  <si>
    <t>Estimated Cost</t>
  </si>
  <si>
    <t>Preparation</t>
  </si>
  <si>
    <t>Design Emergency Room</t>
  </si>
  <si>
    <t>Develop Dashboard and Multi-user
Design ICU</t>
  </si>
  <si>
    <t>Deployment to Production
Develop ICU
Design Medical Ward</t>
  </si>
  <si>
    <t>Develop Medical Ward
Design Operating Room</t>
  </si>
  <si>
    <t>Develop UI
Develop Emergency Room</t>
  </si>
  <si>
    <t>Develop Operating Room
Design Maternity Care</t>
  </si>
  <si>
    <t>Develop Maternity Care
Design Behavioural and Mental Health Room</t>
  </si>
  <si>
    <t>Develop Behavioural and Mental Health Room
Design Family Room</t>
  </si>
  <si>
    <t>Develop Family Room
Design NICU</t>
  </si>
  <si>
    <t>Develop NICU
Deployment to Production
Project Closing</t>
  </si>
  <si>
    <t>25 March 2025</t>
  </si>
  <si>
    <t>3 April 2025</t>
  </si>
  <si>
    <t>22 April 2025</t>
  </si>
  <si>
    <t>5 May 2025</t>
  </si>
  <si>
    <t>22 May 2025</t>
  </si>
  <si>
    <t>30 May 2025</t>
  </si>
  <si>
    <t>9 June 2025</t>
  </si>
  <si>
    <t>17 June 2025</t>
  </si>
  <si>
    <t>25 June 2025</t>
  </si>
  <si>
    <t>3 July 2025</t>
  </si>
  <si>
    <t>23 July 2025</t>
  </si>
  <si>
    <t>Total Cost</t>
  </si>
  <si>
    <t>Stakeholder</t>
  </si>
  <si>
    <t>Influence Level</t>
  </si>
  <si>
    <t>Decisional Influence</t>
  </si>
  <si>
    <t>Internal/External</t>
  </si>
  <si>
    <t>OP Head</t>
  </si>
  <si>
    <t>OP head will be the owner of the project</t>
  </si>
  <si>
    <t>OP board</t>
  </si>
  <si>
    <t>OP stakeholders that will benefit from the project</t>
  </si>
  <si>
    <t>Internal</t>
  </si>
  <si>
    <t>OP professors</t>
  </si>
  <si>
    <t>The professors and students will use the VR after deployment</t>
  </si>
  <si>
    <t>Maori consultants</t>
  </si>
  <si>
    <t>Their Maori knowledge affect decisions</t>
  </si>
  <si>
    <t>External</t>
  </si>
  <si>
    <t>OP Students</t>
  </si>
  <si>
    <t>They will use the VR after production</t>
  </si>
  <si>
    <t>Operations Team</t>
  </si>
  <si>
    <t>They will maintain the VR after project closure</t>
  </si>
  <si>
    <t>Purpose</t>
  </si>
  <si>
    <t>Mode/Chanel of Communication</t>
  </si>
  <si>
    <t>Frequency</t>
  </si>
  <si>
    <t>Time</t>
  </si>
  <si>
    <t>Participants</t>
  </si>
  <si>
    <t>Get updates from the VR project</t>
  </si>
  <si>
    <t>OP Head and board</t>
  </si>
  <si>
    <t>To know how the VR is used</t>
  </si>
  <si>
    <t>To know if the VR project follows Maori Principles</t>
  </si>
  <si>
    <t>Sprint Planning, Sprint review, and sprint retrospective</t>
  </si>
  <si>
    <t>Sprint review</t>
  </si>
  <si>
    <t>Every start and end of sprint</t>
  </si>
  <si>
    <t>End of Sprint</t>
  </si>
  <si>
    <t>End of sprint</t>
  </si>
  <si>
    <t>Development Team and Stakeholders</t>
  </si>
  <si>
    <t>10am every Start and End of Sprint</t>
  </si>
  <si>
    <t>10am Every end of sprint</t>
  </si>
  <si>
    <t>Online Meeting</t>
  </si>
  <si>
    <t>Planning Dates
3/12/25
3/26/25
4/4/25
5/6/25
5/23/25
6/2/25
6/10/25
6/18/25
6/26/25
7/4/25</t>
  </si>
  <si>
    <t>Review Dates
3/25/25
4/3/25
4/22/25
5/5/25
5/22/25
5/30/25
6/9/25
6/17/25
6/25/26
7/3/25
7/23/25</t>
  </si>
  <si>
    <t>10am</t>
  </si>
  <si>
    <t>Budget Categories</t>
  </si>
  <si>
    <t>Cost</t>
  </si>
  <si>
    <t>Labour Cost</t>
  </si>
  <si>
    <t>Software Licenses</t>
  </si>
  <si>
    <t>Total</t>
  </si>
  <si>
    <t>Miscellaneous</t>
  </si>
  <si>
    <t>Description</t>
  </si>
  <si>
    <t>Manpower Cost</t>
  </si>
  <si>
    <t>Laptops and Mouse</t>
  </si>
  <si>
    <t>Monthly Rent</t>
  </si>
  <si>
    <t>Montly Electricity</t>
  </si>
  <si>
    <t>Licenses for Jira, Unreal Engine, Github, and Azure</t>
  </si>
  <si>
    <t>$1300 x 20 Laptops for the development Team</t>
  </si>
  <si>
    <t>$650 x 20 for the development team</t>
  </si>
  <si>
    <t>5% for other expenses</t>
  </si>
  <si>
    <t>Name</t>
  </si>
  <si>
    <t>Status</t>
  </si>
  <si>
    <t>Functional role</t>
  </si>
  <si>
    <t>Responsibilities</t>
  </si>
  <si>
    <t>Reporting To</t>
  </si>
  <si>
    <t>Tsunade Senju</t>
  </si>
  <si>
    <t>Kisame Hoshigaki</t>
  </si>
  <si>
    <t>Kakashi Hatake</t>
  </si>
  <si>
    <t>Minato Namikaze</t>
  </si>
  <si>
    <t>Sakura Haruno</t>
  </si>
  <si>
    <t>Shikamaru Nara</t>
  </si>
  <si>
    <t>Choji Akimichi</t>
  </si>
  <si>
    <t>Rock Lee</t>
  </si>
  <si>
    <t>Hinata Hyuga</t>
  </si>
  <si>
    <t>Naruto Uzumaki</t>
  </si>
  <si>
    <t>Sasuke Uchiha</t>
  </si>
  <si>
    <t>Konohamaru Sarutobi</t>
  </si>
  <si>
    <t>Asuma Sarutobi</t>
  </si>
  <si>
    <t>Danzo Shimura</t>
  </si>
  <si>
    <t>Zabuza Momochi</t>
  </si>
  <si>
    <t>Mei Terumi</t>
  </si>
  <si>
    <t>Kiba Inuzuka</t>
  </si>
  <si>
    <t>Shino Aburame</t>
  </si>
  <si>
    <t>Kimimaro Kaguya</t>
  </si>
  <si>
    <t>Lecturer</t>
  </si>
  <si>
    <t>Student</t>
  </si>
  <si>
    <t>Kushimaru Kuriarare</t>
  </si>
  <si>
    <t>Jinpachi Munashi</t>
  </si>
  <si>
    <t>Kurenai Yuhi</t>
  </si>
  <si>
    <t>Hiring of members</t>
  </si>
  <si>
    <t>Decision making for OP</t>
  </si>
  <si>
    <t>Leading the development team</t>
  </si>
  <si>
    <t>In charge of deployment related tasks, pipeline creation</t>
  </si>
  <si>
    <t>In charge of risk management</t>
  </si>
  <si>
    <t>Ensure Maori and other Cultural requirements are met</t>
  </si>
  <si>
    <t>In charge of backlogs</t>
  </si>
  <si>
    <t>In charge of quality and code testing</t>
  </si>
  <si>
    <t>Full-stack development and design</t>
  </si>
  <si>
    <t>In charge of VR Design, does software development as well</t>
  </si>
  <si>
    <t>In charge of development, does full-stack development and design</t>
  </si>
  <si>
    <t>In charge of training to students and lecturers</t>
  </si>
  <si>
    <t>Lecturer assigned from OP to test the VR</t>
  </si>
  <si>
    <t>student assigned from OP to test the VR</t>
  </si>
  <si>
    <t>Milestones</t>
  </si>
  <si>
    <t>Date</t>
  </si>
  <si>
    <t xml:space="preserve">Project start </t>
  </si>
  <si>
    <t>Completion of Project Vision</t>
  </si>
  <si>
    <t>Preparation for Sprint 1 done.</t>
  </si>
  <si>
    <t>Completion of UI/UX flows.</t>
  </si>
  <si>
    <t>Completion of Emergency Room</t>
  </si>
  <si>
    <t>Completion of Deployment to Test Environment</t>
  </si>
  <si>
    <t>Completion of lecturer dashboard</t>
  </si>
  <si>
    <t>Completion of LMS integration</t>
  </si>
  <si>
    <t>Completion of multi-user capabilities</t>
  </si>
  <si>
    <t>Completion of User Training and lecture to students and lecturers</t>
  </si>
  <si>
    <t>Completion of Intensive Care Unit</t>
  </si>
  <si>
    <t>Deployment to production</t>
  </si>
  <si>
    <t>Completion of Medical Ward</t>
  </si>
  <si>
    <t>Completion of Operating Room</t>
  </si>
  <si>
    <t>Completion of Maternity Care</t>
  </si>
  <si>
    <t>Completion of Behavioral and Mental Health Room</t>
  </si>
  <si>
    <t>Completion of Family Room</t>
  </si>
  <si>
    <t>Completion of Neonatal Intensive Care Unit (NICU)</t>
  </si>
  <si>
    <t>Completion of Manual and User Training to Students and Lecturers</t>
  </si>
  <si>
    <t>Deploy to Production</t>
  </si>
  <si>
    <t>Project Closure</t>
  </si>
  <si>
    <t>12 March 2025</t>
  </si>
  <si>
    <t>14 March 2025</t>
  </si>
  <si>
    <t>14 April 2025</t>
  </si>
  <si>
    <t>25 April 2025</t>
  </si>
  <si>
    <t>29 April 2025</t>
  </si>
  <si>
    <t>8 May 2025</t>
  </si>
  <si>
    <t>12 May 2025</t>
  </si>
  <si>
    <t>21 May 2025</t>
  </si>
  <si>
    <t>29 May 2025</t>
  </si>
  <si>
    <t>6 June 2025</t>
  </si>
  <si>
    <t>16 June 2025</t>
  </si>
  <si>
    <t>24 June 2025</t>
  </si>
  <si>
    <t>2 July 2025</t>
  </si>
  <si>
    <t>10 July 2025</t>
  </si>
  <si>
    <t>15 July 2025</t>
  </si>
  <si>
    <t>18 July 2025</t>
  </si>
  <si>
    <t>Tasks might take more time to complete as the tasks are assigned to interns.</t>
  </si>
  <si>
    <t>The buffer did not consider sick leaves and absences of employees.</t>
  </si>
  <si>
    <t>Students or lecturers may be hesitant and avoid using the new VR.</t>
  </si>
  <si>
    <t>Malfunctions of hardware and software</t>
  </si>
  <si>
    <t>VR simulations might not reflect the Maori practices.</t>
  </si>
  <si>
    <t>Project Risk</t>
  </si>
  <si>
    <t>Probability</t>
  </si>
  <si>
    <t>Impact</t>
  </si>
  <si>
    <t>Risk Register</t>
  </si>
  <si>
    <t>Member Responsible</t>
  </si>
  <si>
    <t>Mitigation</t>
  </si>
  <si>
    <t>Senior VR Developer</t>
  </si>
  <si>
    <t>Daily standup to monitor if team needs more manpower</t>
  </si>
  <si>
    <t>Scrum Master</t>
  </si>
  <si>
    <t>Every developed VR Room is consulted with lecturers and students to fine tune it and address issues</t>
  </si>
  <si>
    <t>Senior Platform Developer</t>
  </si>
  <si>
    <t>Every developed VR Room is consulted with lecturers and students
Maori Council and NZQA is also involved in checking the quality</t>
  </si>
  <si>
    <t>Added logs as feature to address technology malfunction
For hardware issues, it is a limitation that is an accepted risk</t>
  </si>
  <si>
    <t>Scope Creep</t>
  </si>
  <si>
    <t>Define Acceptance criteria during planning 
Utilize Change Management request for Scope Creep</t>
  </si>
  <si>
    <t>Co-pair with Intermediate and Senior Developers 
Buffer for the tasks are assigned</t>
  </si>
  <si>
    <t>Bugs detected after deployment to production</t>
  </si>
  <si>
    <t xml:space="preserve">Delegate schedules of engineers to morning, afternoon, and evening shifts to monitoring post deployment </t>
  </si>
  <si>
    <t>Assumptions</t>
  </si>
  <si>
    <t>Explanation</t>
  </si>
  <si>
    <t>Due to the nature of the work needed to finish, the engineers not assigned a task during the period are still contributing to the sprint goals. This is because there are other aspects to it, like communicating with stakeholders, grooming backlog, testing features, bug fixes, code reviews, testing, making unit tests, communicating with students and lecturers, etc..</t>
  </si>
  <si>
    <t>All the employees in the development team can start working immediately</t>
  </si>
  <si>
    <t>All the employees in the development team  are working full time</t>
  </si>
  <si>
    <t>All the employees in the development team  are working remotely</t>
  </si>
  <si>
    <t>The experiences of the Senior Engineers is sufficient in delivering this product</t>
  </si>
  <si>
    <t>To mitigate the unknowns, we assume that the Senior Engineers have delivered similar projects in the past.</t>
  </si>
  <si>
    <t>To reduce costs in rent, electricity, etc., we assume that all are remotely, and from home.</t>
  </si>
  <si>
    <t>To reduce intricacies during planning and development, we assumed that the employees are all ready to start working during preparation(sprint)</t>
  </si>
  <si>
    <t>Future costs such as licenses, electricity, etc are not accounted during planning</t>
  </si>
  <si>
    <t>Additional cost after project closure is not accounted into planning</t>
  </si>
  <si>
    <t>Learning VR Platform</t>
  </si>
  <si>
    <t>We assume that the students will use the OP MedVr as alternative learning methods and it will enhance their healthcare skills</t>
  </si>
  <si>
    <t>Budget</t>
  </si>
  <si>
    <t>We assume that the allocated budget will cover from start of project to project closure</t>
  </si>
  <si>
    <t>Timeframe</t>
  </si>
  <si>
    <t>We assume that there are no unknown delays that significantly affect delivery</t>
  </si>
  <si>
    <t>Limitations</t>
  </si>
  <si>
    <t>Technology</t>
  </si>
  <si>
    <t>Experience</t>
  </si>
  <si>
    <t>The skills and experience of the development team will be limited with the available skills in the market.</t>
  </si>
  <si>
    <t>The budget approved for OP MedVR is only $564,845.40. Additional cost will be limited to the 5% miscellaneous budget</t>
  </si>
  <si>
    <t>The project development will start at 12 March 2025 and must end at 23 July 2025.</t>
  </si>
  <si>
    <t>The software licenses used for the development will consider cost and features as factors
The hardware used during the development will also be limited by budget allocated</t>
  </si>
  <si>
    <t>Exclusion</t>
  </si>
  <si>
    <t>Classroom deployment</t>
  </si>
  <si>
    <t>Since we are only developing the OP-MedVR, Setting up a physical VR computer room in OP is not part of the project.</t>
  </si>
  <si>
    <t>Software update and upgrade</t>
  </si>
  <si>
    <t>Since we are only developing OP-MedVR in 5 months, any changes after it would require a new budget and planning.</t>
  </si>
  <si>
    <t>hardware development</t>
  </si>
  <si>
    <t>We are utilizing existing VR hardware and we will not develop custom VR hardware</t>
  </si>
  <si>
    <t>The development of VR will only cover healthcare students and will not cover other disciplines</t>
  </si>
  <si>
    <t>Since we are deploying serverless, we are not deploying physical servers and would only utilize deploying in the cloud</t>
  </si>
  <si>
    <t>NonVR platform</t>
  </si>
  <si>
    <t>The development of OP MedVR only cover the VR aspect, it will not cover other technologies (mobile, desktop, etc.)</t>
  </si>
  <si>
    <t>Other procurement</t>
  </si>
  <si>
    <t>Servers and other Hardware</t>
  </si>
  <si>
    <t>non healthcare training</t>
  </si>
  <si>
    <t>Procuring materials outside the proposed resources and materials and would need additional budget added</t>
  </si>
  <si>
    <t>functional requirement</t>
  </si>
  <si>
    <t>Importance</t>
  </si>
  <si>
    <t>Material</t>
  </si>
  <si>
    <t>Work</t>
  </si>
  <si>
    <t>Materials</t>
  </si>
  <si>
    <t>Item</t>
  </si>
  <si>
    <t>Keyboard</t>
  </si>
  <si>
    <t>Mouse</t>
  </si>
  <si>
    <t>Expenses</t>
  </si>
  <si>
    <t>hourly rate</t>
  </si>
  <si>
    <t>total cost</t>
  </si>
  <si>
    <t>source</t>
  </si>
  <si>
    <t>material</t>
  </si>
  <si>
    <t>quantity</t>
  </si>
  <si>
    <t>cost per unit</t>
  </si>
  <si>
    <t>purpose</t>
  </si>
  <si>
    <t>5 months</t>
  </si>
  <si>
    <t>20 pcs</t>
  </si>
  <si>
    <t>20 pcs x 5 months</t>
  </si>
  <si>
    <t>For the use of employees</t>
  </si>
  <si>
    <t>license for VR development</t>
  </si>
  <si>
    <t>license for Github repository</t>
  </si>
  <si>
    <t>license for cloud use</t>
  </si>
  <si>
    <t>License for use of Jira</t>
  </si>
  <si>
    <t>Warehouse Mouse</t>
  </si>
  <si>
    <t>PowerPlay Keyboard</t>
  </si>
  <si>
    <t>Dell Laptop</t>
  </si>
  <si>
    <t>Meta Quest</t>
  </si>
  <si>
    <t>Unreal Engine</t>
  </si>
  <si>
    <t>Azure Calculator</t>
  </si>
  <si>
    <t>Project Manager</t>
  </si>
  <si>
    <t xml:space="preserve">Senior VR Software Engineer </t>
  </si>
  <si>
    <t xml:space="preserve">Intermediate Full stack software engineer </t>
  </si>
  <si>
    <t xml:space="preserve">Associate full stack software Engineer </t>
  </si>
  <si>
    <t xml:space="preserve">Fullstack software engineer Intern </t>
  </si>
  <si>
    <t>Miscellaneous(5%)</t>
  </si>
  <si>
    <t>no electricity (remote work)</t>
  </si>
  <si>
    <t>no rent (remote work)</t>
  </si>
  <si>
    <t>Quality Control</t>
  </si>
  <si>
    <t>Metrics</t>
  </si>
  <si>
    <t>Implementation in the Project</t>
  </si>
  <si>
    <t>Unit testing and test coverage</t>
  </si>
  <si>
    <t>Compliance to local testing and unit test coverage</t>
  </si>
  <si>
    <t>Provide unit tests and sufficient unit test coverage during the development of each VR rooms.</t>
  </si>
  <si>
    <t>Code Review</t>
  </si>
  <si>
    <t xml:space="preserve">Compliance to Acceptance Criteria </t>
  </si>
  <si>
    <t>As part of development, the code is sent to other engineers to review the code done for each task.</t>
  </si>
  <si>
    <t>Quality assurance check</t>
  </si>
  <si>
    <t>Compliance with testing</t>
  </si>
  <si>
    <t>After developing each task, it is sent to the Quality Assurance Engineer to test the new features.</t>
  </si>
  <si>
    <t>Design feedback</t>
  </si>
  <si>
    <t>Sprint Review</t>
  </si>
  <si>
    <t>Compliance with customer design</t>
  </si>
  <si>
    <t>Compliance with Integration</t>
  </si>
  <si>
    <t>After designing each room, it is checked with the lecturers and students of OP before proceeding with development</t>
  </si>
  <si>
    <t>After approval from Quality Assurance, each feature done during each sprint is demonstrated to the stakeholders for approval.</t>
  </si>
  <si>
    <t>Audit Control</t>
  </si>
  <si>
    <t>New Zealand Qualifications Authority (NZQA)</t>
  </si>
  <si>
    <t>Compliance with healthcare education standards</t>
  </si>
  <si>
    <t>Review to ensure OP-MedVR complies with healthcare education standards during preparation of pre-prod requirements</t>
  </si>
  <si>
    <t>Maori Council</t>
  </si>
  <si>
    <t>Compliance to Treaty of Waitangi</t>
  </si>
  <si>
    <t>Before each deployment to production, audit check with Maori Council is done to ensure that the content is culturally appropriate</t>
  </si>
  <si>
    <t>Closure Task</t>
  </si>
  <si>
    <t>Artifacts</t>
  </si>
  <si>
    <t>The scrum boards (Jira) will be archived, and documentation is organized.</t>
  </si>
  <si>
    <t>Meetings with the Operations Team</t>
  </si>
  <si>
    <t>The project is handed to the Operations Team</t>
  </si>
  <si>
    <t>Final Review of the project</t>
  </si>
  <si>
    <t>Final sprint review including the stakeholders to review the final scope that was complete, the budget, and the schedule.</t>
  </si>
  <si>
    <t>Sprint Retrospective</t>
  </si>
  <si>
    <t>A final retrospective is completed as a team to document on lessons learned, identify process improvements.</t>
  </si>
  <si>
    <t>Retrospective board</t>
  </si>
  <si>
    <t>Documentations
Sprint Data</t>
  </si>
  <si>
    <t>Walkthrough the key user stories remaining (if there is any) in the backlog
Discuss the sprint artifacts and sprint data.
Knowledge sharing regarding end-to-end functionality of OP-MedVR
Access controls are given to the Operations Team</t>
  </si>
  <si>
    <t>Scrum board (Jira) will be archived. 
It will be inaccessible, but the sprint data can still be viewed.
The documentations and links are organized.</t>
  </si>
  <si>
    <t>Artifacts, source code repositories are given to the Operations Team
The user-training manual is also given to the Operations Team</t>
  </si>
  <si>
    <t>Knowledge sharing recordings
Sprint artifacts and sprint data
Sprint backlog
Access controls</t>
  </si>
  <si>
    <t>Source code repository
User-training manual</t>
  </si>
  <si>
    <t>Sprint velocity
Sprint data</t>
  </si>
  <si>
    <t>Māori consultants</t>
  </si>
  <si>
    <t>Development Team</t>
  </si>
  <si>
    <t>Mode / Channel</t>
  </si>
  <si>
    <t>OP Sponsor</t>
  </si>
  <si>
    <t>Maori Consultants</t>
  </si>
  <si>
    <t>Trainers</t>
  </si>
  <si>
    <t>OP Professors / Lecturers</t>
  </si>
  <si>
    <t>Project Oversight</t>
  </si>
  <si>
    <t>Ensure funding and project alignment</t>
  </si>
  <si>
    <t>Project Coordination and Employee development</t>
  </si>
  <si>
    <t>Project assessment</t>
  </si>
  <si>
    <t>Cultural content assessment</t>
  </si>
  <si>
    <t>Project Assessment</t>
  </si>
  <si>
    <t>Employee hiring</t>
  </si>
  <si>
    <t>Training</t>
  </si>
  <si>
    <t>New Zealand Quality Assessment</t>
  </si>
  <si>
    <t>Project and employee guidance</t>
  </si>
  <si>
    <t>Provide feedback about design and use</t>
  </si>
  <si>
    <t>Provide feedback about Maori values</t>
  </si>
  <si>
    <t>Creation and integration of OP-MedVR</t>
  </si>
  <si>
    <t>Hiring of Development Team</t>
  </si>
  <si>
    <t>Provide Training to students</t>
  </si>
  <si>
    <t>Provide feedback about NZ Quality</t>
  </si>
  <si>
    <t>Sprint Meetings, emails</t>
  </si>
  <si>
    <t>Audit Meetings, emails</t>
  </si>
  <si>
    <t>Training meetings, emails</t>
  </si>
  <si>
    <t>Sprint review meetings, emails</t>
  </si>
  <si>
    <t>Meetings, emails, interviews</t>
  </si>
  <si>
    <t>Weekly</t>
  </si>
  <si>
    <t>Daily</t>
  </si>
  <si>
    <t>Twice a week</t>
  </si>
  <si>
    <t>Monthly</t>
  </si>
  <si>
    <t>Wednesday
3-5pm</t>
  </si>
  <si>
    <t>OP Sponsor, Project Manager, Development Team</t>
  </si>
  <si>
    <t>Daily
10am-10:15am</t>
  </si>
  <si>
    <t>Every Tuesday and Thursday
1pm-2pm</t>
  </si>
  <si>
    <t>Every first Monday of the Month
1pm-2pm</t>
  </si>
  <si>
    <t>Project Manager, Development Team</t>
  </si>
  <si>
    <t>Infrastructure, software development
and software testing</t>
  </si>
  <si>
    <t>Every first Monday of the Month
3pm-4pm</t>
  </si>
  <si>
    <t>Every first Monday of the Month
2pm-3pm</t>
  </si>
  <si>
    <t>Project Manager, Development Team, OP Students</t>
  </si>
  <si>
    <t>Project Manager, Development Team, OP Lecturers</t>
  </si>
  <si>
    <t>Project Manager, Development Team, OP Sponsor</t>
  </si>
  <si>
    <t>OP Sponsor will be the owner of the project</t>
  </si>
  <si>
    <t>The professors will use the VR after deployment</t>
  </si>
  <si>
    <t>Their Māori knowledge will affect the usability</t>
  </si>
  <si>
    <t>Manager and Development Team</t>
  </si>
  <si>
    <t>In charge with development of VR</t>
  </si>
  <si>
    <t>External Auditors</t>
  </si>
  <si>
    <t>In charge of checking for standards(NZQA, Maori Council, regression testers, and penetration testers)</t>
  </si>
  <si>
    <t>User Experience</t>
  </si>
  <si>
    <t>Good User Experience for Students and Lecturers</t>
  </si>
  <si>
    <t>Error Free</t>
  </si>
  <si>
    <t>No bugs and no errors during usage.</t>
  </si>
  <si>
    <t>Efficient</t>
  </si>
  <si>
    <t>The VR is responsive and fast for students and lecturers.</t>
  </si>
  <si>
    <t>Reliability</t>
  </si>
  <si>
    <t>Available 24/7 at 99.95% uptime.</t>
  </si>
  <si>
    <t>Secured</t>
  </si>
  <si>
    <t>The students’ and lecturer’s data are secure and protected.</t>
  </si>
  <si>
    <t>Scalability</t>
  </si>
  <si>
    <t>Handles increasing number of users without affecting performance.</t>
  </si>
  <si>
    <t>High importance as this affects satisfaction</t>
  </si>
  <si>
    <t>Fast</t>
  </si>
  <si>
    <t>The code is efficient and well documented.</t>
  </si>
  <si>
    <t>Readability</t>
  </si>
  <si>
    <t>The code is easy to maintain for future updates.</t>
  </si>
  <si>
    <t>Code Quality</t>
  </si>
  <si>
    <t>The code has been tested for errors to ensure standards.</t>
  </si>
  <si>
    <t>Good logging for monitoring.</t>
  </si>
  <si>
    <t>Logging</t>
  </si>
  <si>
    <t>Availability</t>
  </si>
  <si>
    <t>Availability of VR for students and lecturers everywhere with Internet.</t>
  </si>
  <si>
    <t>High importance to ensure accessibility</t>
  </si>
  <si>
    <t>High importance for debugging and security tracking</t>
  </si>
  <si>
    <t>High importance to prevent system failures</t>
  </si>
  <si>
    <t>High importance for long-term development and bug fixes</t>
  </si>
  <si>
    <t>High importance as it affects performance and maintainability</t>
  </si>
  <si>
    <t>VR Homepage and navigation</t>
  </si>
  <si>
    <t>VR homepage and navigation integrated within OP LMS.</t>
  </si>
  <si>
    <t>High importance as it is the requirement</t>
  </si>
  <si>
    <t>Single-sign on using existing student and lecturer accounts.</t>
  </si>
  <si>
    <t>Single Sign on</t>
  </si>
  <si>
    <t>Multiplayer mode for students and observer mode for lecturers.</t>
  </si>
  <si>
    <t>Multiple user feature</t>
  </si>
  <si>
    <t>Role-playing scenarios for students.</t>
  </si>
  <si>
    <t>Role-playing</t>
  </si>
  <si>
    <t>User training manual on how to use OP-MedVR.</t>
  </si>
  <si>
    <t>User Training Manual</t>
  </si>
  <si>
    <t>Feedback feature for lecturers.</t>
  </si>
  <si>
    <t>Feedback feature</t>
  </si>
  <si>
    <t>Maori values and design integration into homepage and VR.</t>
  </si>
  <si>
    <t>Maori Values</t>
  </si>
  <si>
    <t>Eight VR Hospital Rooms:</t>
  </si>
  <si>
    <t xml:space="preserve">Rooms consists of
-Emergency Room
    -Intensive Care Unit
    -Medical Ward
    -Operating Room
    -Maternity Care
    -Behavioural and Mental Room
    -Family Room
    -Neonatal Intensive Care Unit
</t>
  </si>
  <si>
    <t>Source Code</t>
  </si>
  <si>
    <t>Github repository of source code</t>
  </si>
  <si>
    <t>Jira artifacts</t>
  </si>
  <si>
    <t>Deployed instances in three different environments: development, testing, and production</t>
  </si>
  <si>
    <t>Multiple instances</t>
  </si>
  <si>
    <t>High importance for seamless authentication and security</t>
  </si>
  <si>
    <t>High importance for collaborative learning and real-time interactions</t>
  </si>
  <si>
    <t>High importance to enhance immersive learning</t>
  </si>
  <si>
    <t>Medium importance as it supports onboarding but does not affect functionality</t>
  </si>
  <si>
    <t>High importance for performance tracking and student improvement</t>
  </si>
  <si>
    <t>High importance for cultural responsiveness and Treaty of Waitangi compliance</t>
  </si>
  <si>
    <t>High importance for covering a range of healthcare training scenarios</t>
  </si>
  <si>
    <t>High importance for system maintenance and future development</t>
  </si>
  <si>
    <t xml:space="preserve">	Medium importance for tracking development progress</t>
  </si>
  <si>
    <t>High importance for ensuring a stable and tested deployment process</t>
  </si>
  <si>
    <t>User Training</t>
  </si>
  <si>
    <t>Training for the students regarding the use of OP-MedVR</t>
  </si>
  <si>
    <t>Whanaungatanga</t>
  </si>
  <si>
    <t>Maori Value</t>
  </si>
  <si>
    <t>Enable inclusion of full translations to Te Reo Māori language in VR settings, and adding Māori phrases in dialogues in other languages (Hudson et al., 2023).</t>
  </si>
  <si>
    <t>Enable inclusion of Māori greetings in startup of VR (Andrade et al., 2021).</t>
  </si>
  <si>
    <t>Enable inclusion of Māori Visual art in background of hospital rooms (eg. Paintings in Family room) (Brown, 2008).</t>
  </si>
  <si>
    <t>Enable inclusion of Māori history in dialogues (Shedlock (Ngāpuhi &amp; Hudson (Te Whakatōhea), 2022).</t>
  </si>
  <si>
    <t>Tangible Deliverables</t>
  </si>
  <si>
    <t>Intangible Deliverables</t>
  </si>
  <si>
    <t>Sr. No.</t>
  </si>
  <si>
    <t>Milestone</t>
  </si>
  <si>
    <t>Date Became Milestone</t>
  </si>
  <si>
    <t>Preparation for Sprint 1 done</t>
  </si>
  <si>
    <t>Completion of UI/UX flows</t>
  </si>
  <si>
    <t>Gielo Joseph Fernandez</t>
  </si>
  <si>
    <t>Enable inclusion of Māori celebrations in the VR background, like Matariki(New Year) (Hudson et al., 2023)</t>
  </si>
  <si>
    <t>Enable inclusion of rendering rubbish bins in VR to educate students on proper waste segregation (Castronovo et al., 2018).</t>
  </si>
  <si>
    <t>Enable inclusion of scenarios and dialogues in VR for the students and teachers to pledge to care for their environment (Sterman et al., 2015).</t>
  </si>
  <si>
    <t>Enable inclusion of dialogues and scenarios in VR regarding handling wastes (Castronovo et al., 2018).</t>
  </si>
  <si>
    <t xml:space="preserve">Project name </t>
  </si>
  <si>
    <t xml:space="preserve">OP Virtual Reality Learning Platform for Healthcare Training (OP-MedVR) </t>
  </si>
  <si>
    <t>Project Type</t>
  </si>
  <si>
    <t>Software product development – Healthcare Virtual Reality Learning Platform</t>
  </si>
  <si>
    <t>Project Goals</t>
  </si>
  <si>
    <t>Develop VR platform that simulates real-world healthcare scenarios such as patient diagnosis and emergency response within virtual hospital environment. Implement multi-user capabilities and feedback system to allow lecturers to assess student performance during simulations. 
Create user training and support for student and lecturers on how to use OP-MedVR.</t>
  </si>
  <si>
    <t>Project Deliverables</t>
  </si>
  <si>
    <r>
      <rPr>
        <b/>
        <sz val="14"/>
        <color rgb="FF000000"/>
        <rFont val="Times New Roman"/>
        <family val="1"/>
      </rPr>
      <t>Tangible deliverables</t>
    </r>
    <r>
      <rPr>
        <sz val="14"/>
        <color rgb="FF000000"/>
        <rFont val="Times New Roman"/>
        <family val="1"/>
      </rPr>
      <t>:
-VR homepage and navigation integrated within OP LMS.
-Single-sign on using existing student and lecturer accounts.
-Multiplayer mode for students and observer mode for lecturers.
-Role-playing scenarios for students.
-User training manual on how to use OP-MedVR.
-Feedback feature for lecturers.
-Maori values and design integration into homepage and VR.
- Eight VR Hospital Rooms:
    -Emergency Room
    -Intensive Care Unit
    -Medical Ward
    -Operating Room
    -Maternity Care
    -Behavioural and Mental Room
    -Family Room
    -Neonatal Intensive Care Unit
-Github repository of source code
-Jira artifacts
-Deployed instances in three different environments: development, testing, and production</t>
    </r>
  </si>
  <si>
    <r>
      <rPr>
        <b/>
        <sz val="14"/>
        <color rgb="FF000000"/>
        <rFont val="Times New Roman"/>
        <family val="1"/>
      </rPr>
      <t>Intangible deliverables</t>
    </r>
    <r>
      <rPr>
        <sz val="14"/>
        <color rgb="FF000000"/>
        <rFont val="Times New Roman"/>
        <family val="1"/>
      </rPr>
      <t>:
-Good User Experience for students and lecturers.
-No bugs and no errors during usage.
-The VR is responsive and fast for students and lecturers.
-Available 24/7 at 99.95% uptime.
-The students’ and lecturer’s data are secure and protected.
-The VR has scalability feature which handles increasing number of users without affecting performance.
-The code is efficient and well documented.
-The code is easy to maintain for future updates.
-The code has been tested for errors to ensure standards.
-Good logging for monitoring.
-Availability of VR for students and lecturers everywhere with Internet.
-Server logging mechanism to check for hardware/software issues.
-User training for students and lecturers.</t>
    </r>
  </si>
  <si>
    <t>Project Methodology</t>
  </si>
  <si>
    <t>Agile - Scrum</t>
  </si>
  <si>
    <t>Project Budget</t>
  </si>
  <si>
    <r>
      <t xml:space="preserve">Phase        Estimated Cost
</t>
    </r>
    <r>
      <rPr>
        <sz val="14"/>
        <color rgb="FF000000"/>
        <rFont val="Times New Roman"/>
        <family val="1"/>
      </rPr>
      <t>Sprint 0         $101,472.00</t>
    </r>
    <r>
      <rPr>
        <b/>
        <sz val="14"/>
        <color rgb="FF000000"/>
        <rFont val="Times New Roman"/>
        <family val="1"/>
      </rPr>
      <t xml:space="preserve">
</t>
    </r>
    <r>
      <rPr>
        <sz val="14"/>
        <color rgb="FF000000"/>
        <rFont val="Times New Roman"/>
        <family val="1"/>
      </rPr>
      <t xml:space="preserve">Sprint 1         $37,338.00
Sprint 2         $69,342.00
Sprint 3         $48,006.00
Sprint 4         $70,249.20
Sprint 5         $32,004.00
Sprint 6         $32,004.00
Sprint 7         $32,004.00
Sprint 8         $32,004.00
Sprint 9         $32,004.00
Sprint 10       $75,583.20
</t>
    </r>
    <r>
      <rPr>
        <b/>
        <sz val="14"/>
        <color rgb="FF000000"/>
        <rFont val="Times New Roman"/>
        <family val="1"/>
      </rPr>
      <t xml:space="preserve">
Total Cost    $562,010.40</t>
    </r>
  </si>
  <si>
    <t>Project Schedule</t>
  </si>
  <si>
    <t>Start Date:                                        12 March 2025
Estimated Completion Date:         23 July 2025
Estimated Duration:                       96 days</t>
  </si>
  <si>
    <t>Risks</t>
  </si>
  <si>
    <t>•	Tasks might take more time to complete as the tasks are assigned to interns.
•	The buffer did not consider sick leaves and absences of employees.
•	Students or lecturers may be hesitant and avoid using the new VR.
•	Malfunctions of hardware and software
•	VR simulations might not reflect the Maori practices.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</si>
</sst>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4" x14ac:knownFonts="1">
    <font>
      <sz val="12"/>
      <color theme="1"/>
      <name val="Aptos Narrow"/>
      <family val="2"/>
      <scheme val="minor"/>
    </font>
    <font>
      <b/>
      <sz val="12"/>
      <color theme="1"/>
      <name val="Aptos Narrow"/>
      <family val="2"/>
      <scheme val="minor"/>
    </font>
    <font>
      <sz val="8"/>
      <name val="Aptos Narrow"/>
      <family val="2"/>
      <scheme val="minor"/>
    </font>
    <font>
      <b/>
      <sz val="12"/>
      <color rgb="FF111111"/>
      <name val="Calibri"/>
      <family val="2"/>
    </font>
    <font>
      <sz val="12"/>
      <color rgb="FF111111"/>
      <name val="Calibri"/>
      <family val="2"/>
    </font>
    <font>
      <sz val="11"/>
      <color theme="1"/>
      <name val="Calibri"/>
      <family val="2"/>
    </font>
    <font>
      <b/>
      <sz val="11"/>
      <color theme="1"/>
      <name val="Times New Roman"/>
      <family val="1"/>
    </font>
    <font>
      <sz val="11"/>
      <color theme="1"/>
      <name val="Times New Roman"/>
      <family val="1"/>
    </font>
    <font>
      <b/>
      <sz val="12"/>
      <color theme="1"/>
      <name val="Aptos Narrow"/>
      <scheme val="minor"/>
    </font>
    <font>
      <u/>
      <sz val="12"/>
      <color theme="10"/>
      <name val="Aptos Narrow"/>
      <family val="2"/>
      <scheme val="minor"/>
    </font>
    <font>
      <b/>
      <sz val="12"/>
      <color rgb="FF000000"/>
      <name val="Times New Roman"/>
      <family val="1"/>
    </font>
    <font>
      <sz val="12"/>
      <color theme="1"/>
      <name val="Times New Roman"/>
      <family val="1"/>
    </font>
    <font>
      <b/>
      <sz val="14"/>
      <color rgb="FF000000"/>
      <name val="Times New Roman"/>
      <family val="1"/>
    </font>
    <font>
      <sz val="14"/>
      <color rgb="FF000000"/>
      <name val="Times New Roman"/>
      <family val="1"/>
    </font>
  </fonts>
  <fills count="9">
    <fill>
      <patternFill patternType="none"/>
    </fill>
    <fill>
      <patternFill patternType="gray125"/>
    </fill>
    <fill>
      <patternFill patternType="solid">
        <fgColor theme="8" tint="0.79998168889431442"/>
        <bgColor indexed="64"/>
      </patternFill>
    </fill>
    <fill>
      <patternFill patternType="solid">
        <fgColor rgb="FFC5E0B3"/>
        <bgColor indexed="64"/>
      </patternFill>
    </fill>
    <fill>
      <patternFill patternType="solid">
        <fgColor theme="6" tint="0.79998168889431442"/>
        <bgColor theme="6" tint="0.79998168889431442"/>
      </patternFill>
    </fill>
    <fill>
      <patternFill patternType="solid">
        <fgColor theme="9"/>
        <bgColor indexed="64"/>
      </patternFill>
    </fill>
    <fill>
      <patternFill patternType="solid">
        <fgColor rgb="FFFF0000"/>
        <bgColor indexed="64"/>
      </patternFill>
    </fill>
    <fill>
      <patternFill patternType="solid">
        <fgColor rgb="FFFFFF00"/>
        <bgColor indexed="64"/>
      </patternFill>
    </fill>
    <fill>
      <patternFill patternType="solid">
        <fgColor rgb="FFC1F0C8"/>
        <bgColor rgb="FFC1F0C8"/>
      </patternFill>
    </fill>
  </fills>
  <borders count="22">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style="medium">
        <color indexed="64"/>
      </right>
      <top/>
      <bottom/>
      <diagonal/>
    </border>
    <border>
      <left/>
      <right style="medium">
        <color indexed="64"/>
      </right>
      <top style="medium">
        <color indexed="64"/>
      </top>
      <bottom/>
      <diagonal/>
    </border>
    <border>
      <left style="thin">
        <color theme="6"/>
      </left>
      <right style="medium">
        <color indexed="64"/>
      </right>
      <top style="thin">
        <color theme="6"/>
      </top>
      <bottom style="medium">
        <color indexed="64"/>
      </bottom>
      <diagonal/>
    </border>
    <border>
      <left style="thin">
        <color theme="6"/>
      </left>
      <right style="medium">
        <color indexed="64"/>
      </right>
      <top style="medium">
        <color indexed="64"/>
      </top>
      <bottom style="medium">
        <color indexed="64"/>
      </bottom>
      <diagonal/>
    </border>
    <border>
      <left style="medium">
        <color indexed="64"/>
      </left>
      <right style="medium">
        <color indexed="64"/>
      </right>
      <top style="thin">
        <color theme="6"/>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thin">
        <color theme="6"/>
      </left>
      <right style="medium">
        <color indexed="64"/>
      </right>
      <top style="medium">
        <color indexed="64"/>
      </top>
      <bottom/>
      <diagonal/>
    </border>
    <border>
      <left style="thin">
        <color theme="6"/>
      </left>
      <right style="medium">
        <color indexed="64"/>
      </right>
      <top/>
      <bottom/>
      <diagonal/>
    </border>
    <border>
      <left style="thin">
        <color theme="6"/>
      </left>
      <right style="medium">
        <color indexed="64"/>
      </right>
      <top/>
      <bottom style="medium">
        <color indexed="64"/>
      </bottom>
      <diagonal/>
    </border>
    <border>
      <left style="medium">
        <color indexed="64"/>
      </left>
      <right style="medium">
        <color indexed="64"/>
      </right>
      <top style="thin">
        <color rgb="FF196B24"/>
      </top>
      <bottom style="medium">
        <color indexed="64"/>
      </bottom>
      <diagonal/>
    </border>
    <border>
      <left style="thin">
        <color rgb="FF196B24"/>
      </left>
      <right style="medium">
        <color indexed="64"/>
      </right>
      <top style="thin">
        <color rgb="FF196B24"/>
      </top>
      <bottom style="medium">
        <color indexed="64"/>
      </bottom>
      <diagonal/>
    </border>
    <border>
      <left style="thin">
        <color rgb="FF196B24"/>
      </left>
      <right style="medium">
        <color indexed="64"/>
      </right>
      <top style="thin">
        <color rgb="FF196B24"/>
      </top>
      <bottom/>
      <diagonal/>
    </border>
    <border>
      <left style="medium">
        <color indexed="64"/>
      </left>
      <right style="medium">
        <color indexed="64"/>
      </right>
      <top style="thin">
        <color rgb="FF196B24"/>
      </top>
      <bottom/>
      <diagonal/>
    </border>
    <border>
      <left style="thin">
        <color rgb="FF196B24"/>
      </left>
      <right style="medium">
        <color indexed="64"/>
      </right>
      <top style="medium">
        <color indexed="64"/>
      </top>
      <bottom style="medium">
        <color indexed="64"/>
      </bottom>
      <diagonal/>
    </border>
  </borders>
  <cellStyleXfs count="2">
    <xf numFmtId="0" fontId="0" fillId="0" borderId="0"/>
    <xf numFmtId="0" fontId="9" fillId="0" borderId="0" applyNumberFormat="0" applyFill="0" applyBorder="0" applyAlignment="0" applyProtection="0"/>
  </cellStyleXfs>
  <cellXfs count="81">
    <xf numFmtId="0" fontId="0" fillId="0" borderId="0" xfId="0"/>
    <xf numFmtId="0" fontId="1" fillId="0" borderId="0" xfId="0" applyFont="1"/>
    <xf numFmtId="9" fontId="0" fillId="0" borderId="0" xfId="0" applyNumberFormat="1"/>
    <xf numFmtId="164" fontId="0" fillId="0" borderId="0" xfId="0" applyNumberFormat="1"/>
    <xf numFmtId="0" fontId="0" fillId="2" borderId="0" xfId="0" applyFill="1"/>
    <xf numFmtId="0" fontId="0" fillId="0" borderId="0" xfId="0" applyAlignment="1">
      <alignment wrapText="1"/>
    </xf>
    <xf numFmtId="49" fontId="0" fillId="0" borderId="0" xfId="0" applyNumberFormat="1"/>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0" borderId="3" xfId="0" applyFont="1" applyBorder="1" applyAlignment="1">
      <alignment horizontal="justify" vertical="center" wrapText="1"/>
    </xf>
    <xf numFmtId="0" fontId="4" fillId="0" borderId="4" xfId="0" applyFont="1" applyBorder="1" applyAlignment="1">
      <alignment horizontal="justify" vertical="center" wrapText="1"/>
    </xf>
    <xf numFmtId="0" fontId="3" fillId="0" borderId="1" xfId="0" applyFont="1" applyBorder="1" applyAlignment="1">
      <alignment vertical="center" wrapText="1"/>
    </xf>
    <xf numFmtId="0" fontId="3" fillId="0" borderId="2" xfId="0"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0" fillId="0" borderId="5" xfId="0" applyBorder="1"/>
    <xf numFmtId="0" fontId="0" fillId="0" borderId="5" xfId="0" applyBorder="1" applyAlignment="1">
      <alignment wrapText="1"/>
    </xf>
    <xf numFmtId="164" fontId="0" fillId="0" borderId="5" xfId="0" applyNumberFormat="1" applyBorder="1"/>
    <xf numFmtId="0" fontId="5" fillId="0" borderId="1" xfId="0" applyFont="1" applyBorder="1" applyAlignment="1">
      <alignment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vertical="center" wrapText="1"/>
    </xf>
    <xf numFmtId="0" fontId="7" fillId="0" borderId="4" xfId="0" applyFont="1" applyBorder="1" applyAlignment="1">
      <alignment vertical="center" wrapText="1"/>
    </xf>
    <xf numFmtId="0" fontId="7" fillId="0" borderId="4" xfId="0" applyFont="1" applyBorder="1" applyAlignment="1">
      <alignment horizontal="left" vertical="center" wrapText="1" indent="3"/>
    </xf>
    <xf numFmtId="0" fontId="8" fillId="0" borderId="0" xfId="0" applyFont="1"/>
    <xf numFmtId="0" fontId="9" fillId="0" borderId="0" xfId="1"/>
    <xf numFmtId="0" fontId="9" fillId="0" borderId="0" xfId="1" applyAlignment="1">
      <alignment wrapText="1"/>
    </xf>
    <xf numFmtId="0" fontId="8" fillId="0" borderId="0" xfId="0" applyFont="1" applyAlignment="1">
      <alignment wrapText="1"/>
    </xf>
    <xf numFmtId="164" fontId="0" fillId="0" borderId="0" xfId="0" applyNumberFormat="1" applyAlignment="1">
      <alignment wrapText="1"/>
    </xf>
    <xf numFmtId="164" fontId="8" fillId="0" borderId="0" xfId="0" applyNumberFormat="1" applyFont="1"/>
    <xf numFmtId="0" fontId="10" fillId="3" borderId="1" xfId="0" applyFont="1" applyFill="1" applyBorder="1" applyAlignment="1">
      <alignment horizontal="left" vertical="center" wrapText="1"/>
    </xf>
    <xf numFmtId="0" fontId="10" fillId="3" borderId="2" xfId="0" applyFont="1" applyFill="1" applyBorder="1" applyAlignment="1">
      <alignment horizontal="left" vertical="center" wrapText="1"/>
    </xf>
    <xf numFmtId="0" fontId="11" fillId="0" borderId="3" xfId="0" applyFont="1" applyBorder="1" applyAlignment="1">
      <alignment horizontal="left" vertical="center" wrapText="1"/>
    </xf>
    <xf numFmtId="0" fontId="11" fillId="0" borderId="4" xfId="0" applyFont="1" applyBorder="1" applyAlignment="1">
      <alignment horizontal="left" vertical="center" wrapText="1"/>
    </xf>
    <xf numFmtId="0" fontId="11" fillId="0" borderId="3" xfId="0" applyFont="1" applyBorder="1" applyAlignment="1">
      <alignment horizontal="justify" vertical="center" wrapText="1"/>
    </xf>
    <xf numFmtId="0" fontId="11" fillId="0" borderId="4" xfId="0" applyFont="1" applyBorder="1" applyAlignment="1">
      <alignment horizontal="justify" vertical="center" wrapText="1"/>
    </xf>
    <xf numFmtId="0" fontId="11" fillId="0" borderId="6" xfId="0" applyFont="1" applyBorder="1" applyAlignment="1">
      <alignment horizontal="left" vertical="center" wrapText="1"/>
    </xf>
    <xf numFmtId="0" fontId="10" fillId="3" borderId="4" xfId="0" applyFont="1" applyFill="1" applyBorder="1" applyAlignment="1">
      <alignment horizontal="left" vertical="center" wrapText="1"/>
    </xf>
    <xf numFmtId="0" fontId="10" fillId="3" borderId="6" xfId="0" applyFont="1" applyFill="1" applyBorder="1" applyAlignment="1">
      <alignment horizontal="left" vertical="center" wrapText="1"/>
    </xf>
    <xf numFmtId="0" fontId="11" fillId="0" borderId="7" xfId="0" applyFont="1" applyBorder="1" applyAlignment="1">
      <alignment horizontal="left" vertical="center" wrapText="1"/>
    </xf>
    <xf numFmtId="0" fontId="11" fillId="0" borderId="0" xfId="0" applyFont="1" applyBorder="1" applyAlignment="1">
      <alignment horizontal="left" vertical="center" wrapText="1"/>
    </xf>
    <xf numFmtId="0" fontId="10" fillId="3" borderId="10" xfId="0" applyFont="1" applyFill="1" applyBorder="1" applyAlignment="1">
      <alignment horizontal="left" vertical="center" wrapText="1"/>
    </xf>
    <xf numFmtId="0" fontId="11" fillId="4" borderId="11" xfId="0" applyFont="1" applyFill="1" applyBorder="1" applyAlignment="1">
      <alignment horizontal="left" vertical="center" wrapText="1"/>
    </xf>
    <xf numFmtId="0" fontId="11" fillId="4" borderId="9" xfId="0" applyFont="1" applyFill="1" applyBorder="1" applyAlignment="1">
      <alignment horizontal="left" vertical="center" wrapText="1"/>
    </xf>
    <xf numFmtId="0" fontId="11" fillId="0" borderId="11" xfId="0" applyFont="1" applyBorder="1" applyAlignment="1">
      <alignment horizontal="left" vertical="center" wrapText="1"/>
    </xf>
    <xf numFmtId="0" fontId="11" fillId="0" borderId="9" xfId="0" applyFont="1" applyBorder="1" applyAlignment="1">
      <alignment horizontal="left" vertical="center" wrapText="1"/>
    </xf>
    <xf numFmtId="164" fontId="8" fillId="0" borderId="0" xfId="0" applyNumberFormat="1" applyFont="1" applyAlignment="1">
      <alignment wrapText="1"/>
    </xf>
    <xf numFmtId="0" fontId="11" fillId="5" borderId="11" xfId="0" applyFont="1" applyFill="1" applyBorder="1" applyAlignment="1">
      <alignment horizontal="left" vertical="center" wrapText="1"/>
    </xf>
    <xf numFmtId="0" fontId="11" fillId="6" borderId="11" xfId="0" applyFont="1" applyFill="1" applyBorder="1" applyAlignment="1">
      <alignment horizontal="left" vertical="center" wrapText="1"/>
    </xf>
    <xf numFmtId="0" fontId="11" fillId="7" borderId="11" xfId="0" applyFont="1" applyFill="1" applyBorder="1" applyAlignment="1">
      <alignment horizontal="left" vertical="center" wrapText="1"/>
    </xf>
    <xf numFmtId="49" fontId="11" fillId="4" borderId="9" xfId="0" applyNumberFormat="1" applyFont="1" applyFill="1" applyBorder="1" applyAlignment="1">
      <alignment horizontal="left" vertical="center" wrapText="1"/>
    </xf>
    <xf numFmtId="49" fontId="11" fillId="0" borderId="9" xfId="0" applyNumberFormat="1" applyFont="1" applyBorder="1" applyAlignment="1">
      <alignment horizontal="left" vertical="center" wrapText="1"/>
    </xf>
    <xf numFmtId="0" fontId="11" fillId="4" borderId="13" xfId="0" applyFont="1" applyFill="1" applyBorder="1" applyAlignment="1">
      <alignment horizontal="left" vertical="center" wrapText="1"/>
    </xf>
    <xf numFmtId="0" fontId="0" fillId="0" borderId="12" xfId="0" applyBorder="1" applyAlignment="1">
      <alignment horizontal="left" vertical="center" wrapText="1"/>
    </xf>
    <xf numFmtId="0" fontId="0" fillId="0" borderId="3" xfId="0" applyBorder="1" applyAlignment="1">
      <alignment horizontal="left" vertical="center" wrapText="1"/>
    </xf>
    <xf numFmtId="0" fontId="11" fillId="0" borderId="14" xfId="0" applyFont="1"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12" fillId="8" borderId="17" xfId="0" applyFont="1" applyFill="1" applyBorder="1" applyAlignment="1">
      <alignment horizontal="left" vertical="center" wrapText="1"/>
    </xf>
    <xf numFmtId="0" fontId="13" fillId="8" borderId="18" xfId="0" applyFont="1" applyFill="1" applyBorder="1" applyAlignment="1">
      <alignment horizontal="left" vertical="center" wrapText="1"/>
    </xf>
    <xf numFmtId="0" fontId="13" fillId="0" borderId="17" xfId="0" applyFont="1" applyBorder="1" applyAlignment="1">
      <alignment horizontal="left" vertical="center" wrapText="1"/>
    </xf>
    <xf numFmtId="0" fontId="13" fillId="0" borderId="18" xfId="0" applyFont="1" applyBorder="1" applyAlignment="1">
      <alignment horizontal="left" vertical="center" wrapText="1"/>
    </xf>
    <xf numFmtId="0" fontId="12" fillId="8" borderId="18" xfId="0" applyFont="1" applyFill="1" applyBorder="1" applyAlignment="1">
      <alignment horizontal="left" vertical="center" wrapText="1"/>
    </xf>
    <xf numFmtId="0" fontId="12" fillId="0" borderId="18" xfId="0" applyFont="1" applyBorder="1" applyAlignment="1">
      <alignment horizontal="left" vertical="center" wrapText="1"/>
    </xf>
    <xf numFmtId="0" fontId="12" fillId="0" borderId="17" xfId="0" applyFont="1" applyBorder="1" applyAlignment="1">
      <alignment horizontal="left" vertical="center" wrapText="1"/>
    </xf>
    <xf numFmtId="0" fontId="12" fillId="8" borderId="13" xfId="0" applyFont="1" applyFill="1" applyBorder="1" applyAlignment="1">
      <alignment horizontal="left" vertical="center" wrapText="1"/>
    </xf>
    <xf numFmtId="0" fontId="13" fillId="0" borderId="19" xfId="0" applyFont="1" applyBorder="1" applyAlignment="1">
      <alignment horizontal="left" vertical="center" wrapText="1"/>
    </xf>
    <xf numFmtId="0" fontId="12" fillId="0" borderId="20" xfId="0" applyFont="1" applyBorder="1" applyAlignment="1">
      <alignment horizontal="left" vertical="center" wrapText="1"/>
    </xf>
    <xf numFmtId="0" fontId="13" fillId="8" borderId="8" xfId="0" applyFont="1" applyFill="1" applyBorder="1" applyAlignment="1">
      <alignment horizontal="left" vertical="center" wrapText="1"/>
    </xf>
    <xf numFmtId="0" fontId="13" fillId="0" borderId="7" xfId="0" applyFont="1" applyBorder="1" applyAlignment="1">
      <alignment horizontal="left" vertical="center" wrapText="1"/>
    </xf>
    <xf numFmtId="0" fontId="13" fillId="8" borderId="7" xfId="0" applyFont="1" applyFill="1" applyBorder="1" applyAlignment="1">
      <alignment horizontal="left" vertical="center" wrapText="1"/>
    </xf>
    <xf numFmtId="0" fontId="13" fillId="0" borderId="4" xfId="0" applyFont="1" applyBorder="1" applyAlignment="1">
      <alignment horizontal="left" vertical="center" wrapText="1"/>
    </xf>
    <xf numFmtId="0" fontId="0" fillId="0" borderId="12" xfId="0" applyBorder="1" applyAlignment="1"/>
    <xf numFmtId="0" fontId="0" fillId="0" borderId="3" xfId="0" applyBorder="1" applyAlignment="1"/>
    <xf numFmtId="0" fontId="12" fillId="8" borderId="1" xfId="0" applyFont="1" applyFill="1" applyBorder="1" applyAlignment="1">
      <alignment horizontal="left" vertical="center" wrapText="1"/>
    </xf>
    <xf numFmtId="0" fontId="12" fillId="8" borderId="21" xfId="0" applyFont="1" applyFill="1" applyBorder="1" applyAlignment="1">
      <alignment horizontal="left" vertical="center" wrapText="1"/>
    </xf>
    <xf numFmtId="0" fontId="12" fillId="0" borderId="1" xfId="0" applyFont="1" applyBorder="1" applyAlignment="1">
      <alignment horizontal="left" vertical="center" wrapText="1"/>
    </xf>
    <xf numFmtId="0" fontId="13" fillId="0" borderId="21" xfId="0" applyFont="1" applyBorder="1" applyAlignment="1">
      <alignment horizontal="left" vertical="center" wrapText="1"/>
    </xf>
  </cellXfs>
  <cellStyles count="2">
    <cellStyle name="Hyperlink" xfId="1" builtinId="8"/>
    <cellStyle name="Normal" xfId="0" builtinId="0"/>
  </cellStyles>
  <dxfs count="21">
    <dxf>
      <font>
        <b/>
        <i val="0"/>
        <strike val="0"/>
        <condense val="0"/>
        <extend val="0"/>
        <outline val="0"/>
        <shadow val="0"/>
        <u val="none"/>
        <vertAlign val="baseline"/>
        <sz val="12"/>
        <color rgb="FF000000"/>
        <name val="Times New Roman"/>
        <family val="1"/>
        <scheme val="none"/>
      </font>
      <fill>
        <patternFill patternType="solid">
          <fgColor indexed="64"/>
          <bgColor rgb="FFC5E0B3"/>
        </patternFill>
      </fill>
      <alignment horizontal="left"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left" vertical="center" textRotation="0" wrapText="1"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2"/>
        <color theme="1"/>
        <name val="Times New Roman"/>
        <family val="1"/>
        <scheme val="none"/>
      </font>
      <alignment horizontal="left" vertical="center" textRotation="0" wrapText="1"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2"/>
        <color theme="1"/>
        <name val="Times New Roman"/>
        <family val="1"/>
        <scheme val="none"/>
      </font>
      <alignment horizontal="left" vertical="center" textRotation="0" wrapText="1" indent="0" justifyLastLine="0" shrinkToFit="0" readingOrder="0"/>
      <border diagonalUp="0" diagonalDown="0">
        <left/>
        <right style="medium">
          <color indexed="64"/>
        </right>
        <top/>
        <bottom style="medium">
          <color indexed="64"/>
        </bottom>
        <vertical/>
        <horizontal/>
      </border>
    </dxf>
    <dxf>
      <border outline="0">
        <bottom style="medium">
          <color indexed="64"/>
        </bottom>
      </border>
    </dxf>
    <dxf>
      <border outline="0">
        <left style="medium">
          <color indexed="64"/>
        </left>
        <right style="medium">
          <color indexed="64"/>
        </right>
        <top style="medium">
          <color indexed="64"/>
        </top>
        <bottom style="medium">
          <color indexed="64"/>
        </bottom>
      </border>
    </dxf>
    <dxf>
      <alignment horizontal="general" vertical="bottom" textRotation="0" wrapText="1" indent="0" justifyLastLine="0" shrinkToFit="0" readingOrder="0"/>
    </dxf>
    <dxf>
      <numFmt numFmtId="164" formatCode="&quot;$&quot;#,##0.00"/>
      <alignment horizontal="general" vertical="bottom" textRotation="0" indent="0" justifyLastLine="0" shrinkToFit="0" readingOrder="0"/>
    </dxf>
    <dxf>
      <numFmt numFmtId="164" formatCode="&quot;$&quot;#,##0.00"/>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numFmt numFmtId="164" formatCode="&quot;$&quot;#,##0.00"/>
    </dxf>
    <dxf>
      <numFmt numFmtId="164" formatCode="&quot;$&quot;#,##0.00"/>
    </dxf>
    <dxf>
      <alignment horizontal="general" vertical="bottom" textRotation="0" wrapText="1" indent="0" justifyLastLine="0" shrinkToFit="0" readingOrder="0"/>
    </dxf>
    <dxf>
      <font>
        <b/>
        <i val="0"/>
        <strike val="0"/>
        <condense val="0"/>
        <extend val="0"/>
        <outline val="0"/>
        <shadow val="0"/>
        <u val="none"/>
        <vertAlign val="baseline"/>
        <sz val="12"/>
        <color theme="1"/>
        <name val="Aptos Narrow"/>
        <scheme val="minor"/>
      </font>
    </dxf>
    <dxf>
      <numFmt numFmtId="164" formatCode="&quot;$&quot;#,##0.00"/>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2"/>
        <color theme="1"/>
        <name val="Aptos Narrow"/>
        <scheme val="minor"/>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1C884D-4B87-124E-A604-9154D8FC2F87}" name="Table1" displayName="Table1" ref="AD92:AE96" totalsRowShown="0" headerRowDxfId="20" dataDxfId="19">
  <autoFilter ref="AD92:AE96" xr:uid="{C61C884D-4B87-124E-A604-9154D8FC2F87}"/>
  <tableColumns count="2">
    <tableColumn id="1" xr3:uid="{E19D91CC-09C9-9C49-BAEB-9C1BBAE170F6}" name="Budget Categories" dataDxfId="18"/>
    <tableColumn id="2" xr3:uid="{1F0367F6-B4C4-864A-B154-EC85DE97B2C5}" name="Cost" dataDxfId="17"/>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50B3A5-F0AF-2248-82DE-D34B835A4BC0}" name="Table2" displayName="Table2" ref="AD78:AI89" totalsRowShown="0" headerRowDxfId="16">
  <autoFilter ref="AD78:AI89" xr:uid="{A150B3A5-F0AF-2248-82DE-D34B835A4BC0}"/>
  <tableColumns count="6">
    <tableColumn id="1" xr3:uid="{89527ED8-B30B-294D-AC18-7ED98FD2645D}" name="material" dataDxfId="15"/>
    <tableColumn id="2" xr3:uid="{9BAE2673-70AF-B14C-92F0-1F400606213A}" name="quantity"/>
    <tableColumn id="3" xr3:uid="{844E870A-73D6-334C-80A8-F921F350E183}" name="cost per unit" dataDxfId="14"/>
    <tableColumn id="4" xr3:uid="{F83CB8C5-1EB7-AE46-B8F9-C70D331F43C2}" name="total cost" dataDxfId="13"/>
    <tableColumn id="5" xr3:uid="{D731A909-77D8-824C-8DBC-5BAEECD7E99A}" name="purpose"/>
    <tableColumn id="6" xr3:uid="{AD02C46C-0476-8745-BEEA-FDF99B51A490}" name="source"/>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B1A3758-7FA1-3346-B11D-9764FCDA658F}" name="Table3" displayName="Table3" ref="AD53:AH74" totalsRowShown="0" headerRowDxfId="12" dataDxfId="11">
  <autoFilter ref="AD53:AH74" xr:uid="{5B1A3758-7FA1-3346-B11D-9764FCDA658F}"/>
  <tableColumns count="5">
    <tableColumn id="1" xr3:uid="{78AE0650-3436-5542-8955-8A7FCBF46204}" name="Role" dataDxfId="10"/>
    <tableColumn id="2" xr3:uid="{5612B0FD-6FD9-A641-A42D-97388C895881}" name="hours" dataDxfId="9"/>
    <tableColumn id="3" xr3:uid="{2B4E4EBE-287A-FF48-835D-0B358795605F}" name="hourly rate" dataDxfId="8"/>
    <tableColumn id="4" xr3:uid="{F6F4D3C1-DAC5-394C-BAFD-72008B87C95D}" name="total cost" dataDxfId="7"/>
    <tableColumn id="5" xr3:uid="{4E5C7768-CA89-C44B-B177-AF824A2A61C3}" name="source" dataDxfId="6" dataCellStyle="Hyperlink"/>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C8E9A6-63CB-FD43-B938-927EFA9F6539}" name="Table4" displayName="Table4" ref="D3:F8" totalsRowShown="0" headerRowDxfId="0" headerRowBorderDxfId="4" tableBorderDxfId="5">
  <autoFilter ref="D3:F8" xr:uid="{87C8E9A6-63CB-FD43-B938-927EFA9F6539}"/>
  <tableColumns count="3">
    <tableColumn id="1" xr3:uid="{D7C26737-4423-724E-A9B3-05DF2D407B93}" name="Quality Control" dataDxfId="3"/>
    <tableColumn id="2" xr3:uid="{A196E2FA-F604-C540-8146-65A8F626C4E1}" name="Metrics" dataDxfId="2"/>
    <tableColumn id="3" xr3:uid="{EDA3857A-63AB-C44E-BECA-AE0507A281D8}" name="Implementation in the Project" dataDxfId="1"/>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zure.microsoft.com/en-us/pricing/calculator/?ef_id=_k_Cj0KCQjw-e6-BhDmARIsAOxxlxX14GT6Xgk_PIpmy9nZve2RbTFsrkhuQPFPnsWSuwNOKvzvVE6FhBAaAhw8EALw_wcB_k_&amp;OCID=AIDcmmp3m06wb2_SEM__k_Cj0KCQjw-e6-BhDmARIsAOxxlxX14GT6Xgk_PIpmy9nZve2RbTFsrkhuQPFPnsWSuwNOKvzvVE6FhBAaAhw8EALw_wcB_k_&amp;gad_source=1&amp;gclid=Cj0KCQjw-e6-BhDmARIsAOxxlxX14GT6Xgk_PIpmy9nZve2RbTFsrkhuQPFPnsWSuwNOKvzvVE6FhBAaAhw8EALw_wcB" TargetMode="External"/><Relationship Id="rId13" Type="http://schemas.openxmlformats.org/officeDocument/2006/relationships/hyperlink" Target="https://www.glassdoor.co.nz/job-listing/work-winning-consultant-aurecon-group-JV_IC3525162_KO0,23_KE24,37.htm?jl=1009561005629&amp;cs=1_448e59b4&amp;s=58&amp;t=SR&amp;pos=101&amp;src=GD_JOB_AD&amp;guid=00000195b285d69893ad4e1c0af95b38&amp;jobListingId=1009561005629&amp;ao=1136043&amp;vt=w&amp;jrtk=5-pdx1-0-1imp8blnd222o000-75b1809a532fc97c&amp;cb=1742456870868&amp;ctt=1742456884958" TargetMode="External"/><Relationship Id="rId18" Type="http://schemas.openxmlformats.org/officeDocument/2006/relationships/hyperlink" Target="https://www.seek.co.nz/job/82758697?type=standard&amp;ref=search-standalone&amp;origin=cardTitle" TargetMode="External"/><Relationship Id="rId26" Type="http://schemas.openxmlformats.org/officeDocument/2006/relationships/hyperlink" Target="https://www.glassdoor.co.nz/job-listing/senior-qa-engineer-payment-product-binance-JV_IC3525162_KO0,34_KE35,42.htm?jl=1009335940342&amp;src=GD_JOB_AD&amp;uido=65FC4472BDEC32AAD12883C19DB458B2&amp;ao=1136043&amp;jrtk=5-pdx1-0-1impacp24gqnl800-2c32325891c848b1&amp;cs=1_12244bb7&amp;s=58&amp;t=SR&amp;pos=102&amp;guid=00000195b2a663e695acf38a3d7b45b8&amp;jobListingId=1009335940342&amp;ea=1&amp;vt=w&amp;cb=1742459004143&amp;ctt=1742459011545" TargetMode="External"/><Relationship Id="rId3" Type="http://schemas.openxmlformats.org/officeDocument/2006/relationships/hyperlink" Target="https://www.thewarehouse.co.nz/p/logitech-m190-full-size-wireless-mouse---blue-910-005914/M18529702.html?srsltid=AfmBOortW7da92oV1ogJUmJ3HhpLUx3YZDpAapauHqF3Qt9arrRaK8aDHzI" TargetMode="External"/><Relationship Id="rId21" Type="http://schemas.openxmlformats.org/officeDocument/2006/relationships/hyperlink" Target="https://www.sjs.co.nz/job-details/21526/mechatronics-rnd-engineer-intern-casualpartfull-time-cbd/" TargetMode="External"/><Relationship Id="rId7" Type="http://schemas.openxmlformats.org/officeDocument/2006/relationships/hyperlink" Target="https://github.com/pricing" TargetMode="External"/><Relationship Id="rId12" Type="http://schemas.openxmlformats.org/officeDocument/2006/relationships/hyperlink" Target="https://www.glassdoor.co.nz/job-listing/product-development-specialist-hub-services-iag-new-zealand-JV_IC3525162_KO0,43_KE44,59.htm?jl=1009662255445&amp;cs=1_4ef51041&amp;s=58&amp;t=SR&amp;pos=102&amp;src=GD_JOB_AD&amp;guid=00000195b283066fa760d46250f5cb8e&amp;jobListingId=1009662255445&amp;ao=1136043&amp;vt=w&amp;jrtk=5-pdx1-0-1imp861lui0ht800-3a847457d00276f3&amp;cb=1742456686571&amp;ctt=1742456707752" TargetMode="External"/><Relationship Id="rId17" Type="http://schemas.openxmlformats.org/officeDocument/2006/relationships/hyperlink" Target="https://www.seek.co.nz/job/82758697?type=standard&amp;ref=search-standalone&amp;origin=cardTitle" TargetMode="External"/><Relationship Id="rId25" Type="http://schemas.openxmlformats.org/officeDocument/2006/relationships/hyperlink" Target="https://www.sjs.co.nz/job-details/21526/mechatronics-rnd-engineer-intern-casualpartfull-time-cbd/" TargetMode="External"/><Relationship Id="rId2" Type="http://schemas.openxmlformats.org/officeDocument/2006/relationships/hyperlink" Target="https://www.pbtech.co.nz/product/KEYEBL1026/PowerPlay-E-Blue-Mechanical-Sense-RGB-Gaming-Keybo?srsltid=AfmBOooLZOmmTw6reVHHwSRwjH_6l9iixH98waNnHECwnCvt0Ds56fdIxjI&amp;gStoreCode=PBAucklandCBD" TargetMode="External"/><Relationship Id="rId16" Type="http://schemas.openxmlformats.org/officeDocument/2006/relationships/hyperlink" Target="https://www.seek.co.nz/job/82471580?type=promoted&amp;ref=search-standalone&amp;origin=cardTitle" TargetMode="External"/><Relationship Id="rId20" Type="http://schemas.openxmlformats.org/officeDocument/2006/relationships/hyperlink" Target="https://www.glassdoor.co.nz/Salary/Aderant-Associate-Software-Engineer-Salaries-E37370_D_KO8,35.htm" TargetMode="External"/><Relationship Id="rId29" Type="http://schemas.openxmlformats.org/officeDocument/2006/relationships/printerSettings" Target="../printerSettings/printerSettings1.bin"/><Relationship Id="rId1" Type="http://schemas.openxmlformats.org/officeDocument/2006/relationships/hyperlink" Target="https://www.atlassian.com/software/jira/pricing" TargetMode="External"/><Relationship Id="rId6" Type="http://schemas.openxmlformats.org/officeDocument/2006/relationships/hyperlink" Target="https://www.unrealengine.com/en-US/license" TargetMode="External"/><Relationship Id="rId11" Type="http://schemas.openxmlformats.org/officeDocument/2006/relationships/hyperlink" Target="https://www.glassdoor.co.nz/job-listing/senior-devops-engineer-fiserv-JV_IC3525162_KO0,22_KE23,29.htm?jl=1009678594918&amp;cs=1_74fa5c4f&amp;s=58&amp;t=SR&amp;pos=102&amp;src=GD_JOB_AD&amp;guid=00000195b28109a394510563b18d3c45&amp;jobListingId=1009678594918&amp;ao=1136043&amp;vt=w&amp;jrtk=5-pdx1-0-1imp822fq2afp000-bb82b31d9c399180&amp;cb=1742456556303&amp;ctt=1742456627109" TargetMode="External"/><Relationship Id="rId24" Type="http://schemas.openxmlformats.org/officeDocument/2006/relationships/hyperlink" Target="https://www.sjs.co.nz/job-details/21526/mechatronics-rnd-engineer-intern-casualpartfull-time-cbd/" TargetMode="External"/><Relationship Id="rId32" Type="http://schemas.openxmlformats.org/officeDocument/2006/relationships/table" Target="../tables/table3.xml"/><Relationship Id="rId5" Type="http://schemas.openxmlformats.org/officeDocument/2006/relationships/hyperlink" Target="https://www.pbtech.co.nz/product/MVRMTA0024/META-Quest-3s-128GB-Mixed-Reality-Headset-with-2x?qr=GShopping&amp;gad_source=1&amp;gclid=Cj0KCQjw-e6-BhDmARIsAOxxlxVaWUoXJIuyEoiQJ3eRXoX368WtnsJzZHLHL6e3mIZI5g8FZ-UVGZwaAntYEALw_wcB" TargetMode="External"/><Relationship Id="rId15" Type="http://schemas.openxmlformats.org/officeDocument/2006/relationships/hyperlink" Target="https://www.seek.co.nz/job/82471580?type=promoted&amp;ref=search-standalone&amp;origin=cardTitle" TargetMode="External"/><Relationship Id="rId23" Type="http://schemas.openxmlformats.org/officeDocument/2006/relationships/hyperlink" Target="https://www.sjs.co.nz/job-details/21526/mechatronics-rnd-engineer-intern-casualpartfull-time-cbd/" TargetMode="External"/><Relationship Id="rId28" Type="http://schemas.openxmlformats.org/officeDocument/2006/relationships/hyperlink" Target="https://www.seek.co.nz/job/82815772?type=standard&amp;ref=search-standalone&amp;origin=cardTitle" TargetMode="External"/><Relationship Id="rId10" Type="http://schemas.openxmlformats.org/officeDocument/2006/relationships/hyperlink" Target="https://www.glassdoor.co.nz/job-listing/ict-project-manager-techwise-solutions-JV_IC3525162_KO0,19_KE20,38.htm?jl=1009652037968&amp;cs=1_b6da3e24&amp;s=58&amp;t=SR&amp;pos=104&amp;src=GD_JOB_AD&amp;guid=00000195b27ff695b5f85de7264cd50c&amp;jobListingId=1009652037968&amp;ao=1136043&amp;vt=w&amp;jrtk=5-pdx1-0-1imp7vtnigoog804-582d7553ed486054&amp;cb=1742456485931&amp;ctt=1742456494351" TargetMode="External"/><Relationship Id="rId19" Type="http://schemas.openxmlformats.org/officeDocument/2006/relationships/hyperlink" Target="https://www.glassdoor.co.nz/Salary/Aderant-Associate-Software-Engineer-Salaries-E37370_D_KO8,35.htm" TargetMode="External"/><Relationship Id="rId31" Type="http://schemas.openxmlformats.org/officeDocument/2006/relationships/table" Target="../tables/table2.xml"/><Relationship Id="rId4" Type="http://schemas.openxmlformats.org/officeDocument/2006/relationships/hyperlink" Target="https://www.dell.com/en-nz/shop/dell-laptops/inspiron-15-laptop/spd/inspiron-15-3520-laptop/oin3520100901mnzh?ref=variantstack" TargetMode="External"/><Relationship Id="rId9" Type="http://schemas.openxmlformats.org/officeDocument/2006/relationships/hyperlink" Target="https://www.glassdoor.co.nz/job-listing/hr-manager-foster-moore-JV_IC3525162_KO0,10_KE11,23.htm?jl=1009673518619&amp;cs=1_ec9b4ff3&amp;s=58&amp;t=SR&amp;pos=102&amp;src=GD_JOB_AD&amp;guid=00000195b27bb2459b30eef8ec034985&amp;jobListingId=1009673518619&amp;ea=1&amp;ao=1136043&amp;vt=w&amp;jrtk=5-pdx1-0-1imp7nckhgqnl800-1d963c8dbd503581&amp;cb=1742456206940&amp;ctt=1742456254121" TargetMode="External"/><Relationship Id="rId14" Type="http://schemas.openxmlformats.org/officeDocument/2006/relationships/hyperlink" Target="https://www.glassdoor.co.nz/job-listing/product-owner-data-ai-products-asurequality-JV_IC3525162_KO0,30_KE31,43.htm?jl=1009672349495&amp;cs=1_08ef0467&amp;s=58&amp;t=SR&amp;pos=104&amp;src=GD_JOB_AD&amp;guid=00000195b28b54b9befd8a203fdf0cc2&amp;jobListingId=1009672349495&amp;ea=1&amp;ao=1136043&amp;vt=w&amp;jrtk=5-pdx1-0-1imp8ml8ajdr1800-79507115f3c44640&amp;cb=1742457230884&amp;ctt=1742457239278" TargetMode="External"/><Relationship Id="rId22" Type="http://schemas.openxmlformats.org/officeDocument/2006/relationships/hyperlink" Target="https://www.sjs.co.nz/job-details/21526/mechatronics-rnd-engineer-intern-casualpartfull-time-cbd/" TargetMode="External"/><Relationship Id="rId27" Type="http://schemas.openxmlformats.org/officeDocument/2006/relationships/hyperlink" Target="https://www.glassdoor.co.nz/job-listing/game-director-lead-game-designer-tencent-JV_IC3525162_KO0,32_KE33,40.htm?jl=1009649781596&amp;cs=1_3e9eaa24&amp;s=343&amp;t=SR-JOBS-HR&amp;pos=102&amp;src=GD_JOB_AD&amp;guid=00000195b2a948ee89ebfea76a296686&amp;uido=65FC4472BDEC32AAD12883C19DB458B2&amp;jobListingId=1009649781596&amp;ao=1136043&amp;vt=w&amp;jrtk=5-pdx1-0-1impaij15gqmt800-af997ef44ac85d47&amp;cb=1742459194620&amp;ctt=1742459202771" TargetMode="External"/><Relationship Id="rId30"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BD80C-C8EB-0042-9851-2D9486734D39}">
  <dimension ref="C4:AI484"/>
  <sheetViews>
    <sheetView topLeftCell="P82" zoomScale="88" zoomScaleNormal="160" workbookViewId="0">
      <selection activeCell="AE136" sqref="AE136:AJ137"/>
    </sheetView>
  </sheetViews>
  <sheetFormatPr baseColWidth="10" defaultColWidth="11" defaultRowHeight="16" x14ac:dyDescent="0.2"/>
  <cols>
    <col min="21" max="21" width="2.1640625" customWidth="1"/>
    <col min="22" max="22" width="42.6640625" customWidth="1"/>
    <col min="30" max="30" width="12.5" customWidth="1"/>
    <col min="31" max="31" width="12.83203125" customWidth="1"/>
    <col min="32" max="32" width="9.6640625" customWidth="1"/>
    <col min="33" max="33" width="12" customWidth="1"/>
    <col min="34" max="34" width="13" customWidth="1"/>
  </cols>
  <sheetData>
    <row r="4" spans="3:32" x14ac:dyDescent="0.2">
      <c r="V4" s="4" t="s">
        <v>50</v>
      </c>
      <c r="W4" s="4" t="s">
        <v>51</v>
      </c>
      <c r="X4" t="s">
        <v>25</v>
      </c>
      <c r="Y4" t="s">
        <v>26</v>
      </c>
    </row>
    <row r="5" spans="3:32" x14ac:dyDescent="0.2">
      <c r="V5" t="s">
        <v>0</v>
      </c>
      <c r="W5" s="3">
        <v>53</v>
      </c>
      <c r="X5">
        <v>5</v>
      </c>
      <c r="Y5">
        <v>8</v>
      </c>
      <c r="Z5" s="3">
        <f>W5*X5*Y5</f>
        <v>2120</v>
      </c>
      <c r="AD5" s="15" t="s">
        <v>118</v>
      </c>
      <c r="AE5" s="15" t="s">
        <v>124</v>
      </c>
      <c r="AF5" s="15" t="s">
        <v>119</v>
      </c>
    </row>
    <row r="6" spans="3:32" x14ac:dyDescent="0.2">
      <c r="K6" t="s">
        <v>0</v>
      </c>
      <c r="O6">
        <v>60</v>
      </c>
      <c r="T6">
        <v>10000</v>
      </c>
      <c r="V6" t="s">
        <v>1</v>
      </c>
      <c r="W6" s="3">
        <v>51</v>
      </c>
      <c r="X6">
        <v>96</v>
      </c>
      <c r="Y6">
        <v>8</v>
      </c>
      <c r="Z6" s="3">
        <f>W6*X6*Y6</f>
        <v>39168</v>
      </c>
      <c r="AD6" s="15" t="s">
        <v>120</v>
      </c>
      <c r="AE6" s="15" t="s">
        <v>125</v>
      </c>
      <c r="AF6" s="17">
        <f>SUM(Z5:Z24)</f>
        <v>491528</v>
      </c>
    </row>
    <row r="7" spans="3:32" x14ac:dyDescent="0.2">
      <c r="K7" t="s">
        <v>1</v>
      </c>
      <c r="O7">
        <v>60</v>
      </c>
      <c r="T7">
        <v>328</v>
      </c>
      <c r="V7" t="s">
        <v>2</v>
      </c>
      <c r="W7" s="3">
        <v>52</v>
      </c>
      <c r="X7">
        <v>96</v>
      </c>
      <c r="Y7">
        <v>8</v>
      </c>
      <c r="Z7" s="3">
        <f>W7*X7*Y7</f>
        <v>39936</v>
      </c>
      <c r="AD7" s="15" t="s">
        <v>29</v>
      </c>
      <c r="AE7" s="15" t="s">
        <v>126</v>
      </c>
      <c r="AF7" s="17">
        <v>4000</v>
      </c>
    </row>
    <row r="8" spans="3:32" x14ac:dyDescent="0.2">
      <c r="K8" t="s">
        <v>2</v>
      </c>
      <c r="O8">
        <v>56</v>
      </c>
      <c r="T8">
        <v>7800</v>
      </c>
      <c r="V8" t="s">
        <v>3</v>
      </c>
      <c r="W8" s="3">
        <v>34</v>
      </c>
      <c r="X8">
        <v>96</v>
      </c>
      <c r="Y8">
        <v>8</v>
      </c>
      <c r="Z8" s="3">
        <f t="shared" ref="Z8:Z24" si="0">W8*X8*Y8</f>
        <v>26112</v>
      </c>
      <c r="AD8" s="15" t="s">
        <v>28</v>
      </c>
      <c r="AE8" s="15" t="s">
        <v>127</v>
      </c>
      <c r="AF8" s="17">
        <v>0</v>
      </c>
    </row>
    <row r="9" spans="3:32" x14ac:dyDescent="0.2">
      <c r="C9">
        <v>72000</v>
      </c>
      <c r="G9">
        <v>1300</v>
      </c>
      <c r="I9">
        <v>650</v>
      </c>
      <c r="K9" t="s">
        <v>3</v>
      </c>
      <c r="O9">
        <v>28</v>
      </c>
      <c r="R9" t="s">
        <v>24</v>
      </c>
      <c r="T9">
        <v>26000</v>
      </c>
      <c r="V9" t="s">
        <v>4</v>
      </c>
      <c r="W9" s="3">
        <v>42</v>
      </c>
      <c r="X9">
        <v>96</v>
      </c>
      <c r="Y9">
        <v>8</v>
      </c>
      <c r="Z9" s="3">
        <f t="shared" si="0"/>
        <v>32256</v>
      </c>
      <c r="AD9" s="15" t="s">
        <v>27</v>
      </c>
      <c r="AE9" s="15" t="s">
        <v>128</v>
      </c>
      <c r="AF9" s="17">
        <v>0</v>
      </c>
    </row>
    <row r="10" spans="3:32" x14ac:dyDescent="0.2">
      <c r="C10">
        <v>12</v>
      </c>
      <c r="G10">
        <v>20</v>
      </c>
      <c r="I10">
        <v>12</v>
      </c>
      <c r="K10" t="s">
        <v>4</v>
      </c>
      <c r="O10">
        <v>42</v>
      </c>
      <c r="T10">
        <f>O6*8*5</f>
        <v>2400</v>
      </c>
      <c r="V10" t="s">
        <v>5</v>
      </c>
      <c r="W10" s="3">
        <v>48</v>
      </c>
      <c r="X10">
        <v>96</v>
      </c>
      <c r="Y10">
        <v>8</v>
      </c>
      <c r="Z10" s="3">
        <f t="shared" si="0"/>
        <v>36864</v>
      </c>
      <c r="AD10" s="15" t="s">
        <v>121</v>
      </c>
      <c r="AE10" s="15" t="s">
        <v>129</v>
      </c>
      <c r="AF10" s="17">
        <v>3420</v>
      </c>
    </row>
    <row r="11" spans="3:32" x14ac:dyDescent="0.2">
      <c r="C11">
        <v>20</v>
      </c>
      <c r="G11">
        <f>G9*G10</f>
        <v>26000</v>
      </c>
      <c r="I11">
        <f>I9*I10</f>
        <v>7800</v>
      </c>
      <c r="K11" t="s">
        <v>5</v>
      </c>
      <c r="O11">
        <v>52</v>
      </c>
      <c r="T11">
        <f>O7*8*12</f>
        <v>5760</v>
      </c>
      <c r="V11" t="s">
        <v>6</v>
      </c>
      <c r="W11" s="3">
        <v>46</v>
      </c>
      <c r="X11">
        <v>96</v>
      </c>
      <c r="Y11">
        <v>8</v>
      </c>
      <c r="Z11" s="3">
        <f t="shared" si="0"/>
        <v>35328</v>
      </c>
      <c r="AD11" s="15" t="s">
        <v>23</v>
      </c>
      <c r="AE11" s="15" t="s">
        <v>130</v>
      </c>
      <c r="AF11" s="17">
        <v>26000</v>
      </c>
    </row>
    <row r="12" spans="3:32" x14ac:dyDescent="0.2">
      <c r="C12">
        <v>8</v>
      </c>
      <c r="K12" t="s">
        <v>6</v>
      </c>
      <c r="O12">
        <v>50</v>
      </c>
      <c r="T12">
        <f>O8*8*12</f>
        <v>5376</v>
      </c>
      <c r="V12" t="s">
        <v>12</v>
      </c>
      <c r="W12" s="3">
        <v>46</v>
      </c>
      <c r="X12">
        <v>96</v>
      </c>
      <c r="Y12">
        <v>8</v>
      </c>
      <c r="Z12" s="3">
        <f t="shared" si="0"/>
        <v>35328</v>
      </c>
      <c r="AD12" s="15" t="s">
        <v>22</v>
      </c>
      <c r="AE12" s="15" t="s">
        <v>131</v>
      </c>
      <c r="AF12" s="17">
        <v>13000</v>
      </c>
    </row>
    <row r="13" spans="3:32" x14ac:dyDescent="0.2">
      <c r="C13">
        <f>C9/C10/C11/C12</f>
        <v>37.5</v>
      </c>
      <c r="K13" t="s">
        <v>7</v>
      </c>
      <c r="O13">
        <v>32</v>
      </c>
      <c r="T13">
        <f>O10*8*12</f>
        <v>4032</v>
      </c>
      <c r="V13" t="s">
        <v>14</v>
      </c>
      <c r="W13" s="3">
        <v>33</v>
      </c>
      <c r="X13">
        <v>96</v>
      </c>
      <c r="Y13">
        <v>8</v>
      </c>
      <c r="Z13" s="3">
        <f t="shared" si="0"/>
        <v>25344</v>
      </c>
      <c r="AD13" s="15" t="s">
        <v>123</v>
      </c>
      <c r="AE13" s="15" t="s">
        <v>132</v>
      </c>
      <c r="AF13" s="17">
        <f>SUM(AF6:AF12)*0.05</f>
        <v>26897.4</v>
      </c>
    </row>
    <row r="14" spans="3:32" x14ac:dyDescent="0.2">
      <c r="K14" t="s">
        <v>8</v>
      </c>
      <c r="O14">
        <v>25</v>
      </c>
      <c r="V14" t="s">
        <v>13</v>
      </c>
      <c r="W14" s="3">
        <v>33</v>
      </c>
      <c r="X14">
        <v>96</v>
      </c>
      <c r="Y14">
        <v>8</v>
      </c>
      <c r="Z14" s="3">
        <f t="shared" si="0"/>
        <v>25344</v>
      </c>
      <c r="AD14" s="15" t="s">
        <v>122</v>
      </c>
      <c r="AE14" s="15"/>
      <c r="AF14" s="17">
        <f>SUM(AF6:AF13)</f>
        <v>564845.4</v>
      </c>
    </row>
    <row r="15" spans="3:32" x14ac:dyDescent="0.2">
      <c r="K15" t="s">
        <v>9</v>
      </c>
      <c r="O15">
        <v>37</v>
      </c>
      <c r="V15" t="s">
        <v>15</v>
      </c>
      <c r="W15" s="3">
        <v>28</v>
      </c>
      <c r="X15">
        <v>96</v>
      </c>
      <c r="Y15">
        <v>8</v>
      </c>
      <c r="Z15" s="3">
        <f t="shared" si="0"/>
        <v>21504</v>
      </c>
    </row>
    <row r="16" spans="3:32" x14ac:dyDescent="0.2">
      <c r="K16" t="s">
        <v>10</v>
      </c>
      <c r="O16">
        <v>37</v>
      </c>
      <c r="V16" t="s">
        <v>7</v>
      </c>
      <c r="W16" s="3">
        <v>28</v>
      </c>
      <c r="X16">
        <v>96</v>
      </c>
      <c r="Y16">
        <v>8</v>
      </c>
      <c r="Z16" s="3">
        <f t="shared" si="0"/>
        <v>21504</v>
      </c>
    </row>
    <row r="17" spans="3:31" x14ac:dyDescent="0.2">
      <c r="K17" t="s">
        <v>11</v>
      </c>
      <c r="O17">
        <v>38</v>
      </c>
      <c r="V17" t="s">
        <v>19</v>
      </c>
      <c r="W17" s="3">
        <v>25</v>
      </c>
      <c r="X17">
        <v>96</v>
      </c>
      <c r="Y17">
        <v>8</v>
      </c>
      <c r="Z17" s="3">
        <f t="shared" si="0"/>
        <v>19200</v>
      </c>
    </row>
    <row r="18" spans="3:31" x14ac:dyDescent="0.2">
      <c r="H18">
        <f>8.6*20</f>
        <v>172</v>
      </c>
      <c r="K18" t="s">
        <v>12</v>
      </c>
      <c r="O18">
        <v>50</v>
      </c>
      <c r="V18" t="s">
        <v>18</v>
      </c>
      <c r="W18" s="3">
        <v>25</v>
      </c>
      <c r="X18">
        <v>96</v>
      </c>
      <c r="Y18">
        <v>8</v>
      </c>
      <c r="Z18" s="3">
        <f t="shared" si="0"/>
        <v>19200</v>
      </c>
    </row>
    <row r="19" spans="3:31" x14ac:dyDescent="0.2">
      <c r="C19">
        <v>110000</v>
      </c>
      <c r="K19" t="s">
        <v>13</v>
      </c>
      <c r="O19">
        <v>42</v>
      </c>
      <c r="V19" t="s">
        <v>17</v>
      </c>
      <c r="W19" s="3">
        <v>25</v>
      </c>
      <c r="X19">
        <v>96</v>
      </c>
      <c r="Y19">
        <v>8</v>
      </c>
      <c r="Z19" s="3">
        <f t="shared" si="0"/>
        <v>19200</v>
      </c>
    </row>
    <row r="20" spans="3:31" x14ac:dyDescent="0.2">
      <c r="C20">
        <v>12</v>
      </c>
      <c r="D20">
        <v>52</v>
      </c>
      <c r="K20" t="s">
        <v>14</v>
      </c>
      <c r="O20">
        <v>42</v>
      </c>
      <c r="V20" t="s">
        <v>16</v>
      </c>
      <c r="W20" s="3">
        <v>25</v>
      </c>
      <c r="X20">
        <v>96</v>
      </c>
      <c r="Y20">
        <v>8</v>
      </c>
      <c r="Z20" s="3">
        <f t="shared" si="0"/>
        <v>19200</v>
      </c>
    </row>
    <row r="21" spans="3:31" x14ac:dyDescent="0.2">
      <c r="C21">
        <v>20</v>
      </c>
      <c r="D21">
        <v>40</v>
      </c>
      <c r="F21">
        <v>328</v>
      </c>
      <c r="K21" t="s">
        <v>15</v>
      </c>
      <c r="O21">
        <v>32</v>
      </c>
      <c r="V21" t="s">
        <v>8</v>
      </c>
      <c r="W21" s="3">
        <v>25</v>
      </c>
      <c r="X21">
        <v>96</v>
      </c>
      <c r="Y21">
        <v>8</v>
      </c>
      <c r="Z21" s="3">
        <f t="shared" si="0"/>
        <v>19200</v>
      </c>
    </row>
    <row r="22" spans="3:31" x14ac:dyDescent="0.2">
      <c r="C22">
        <v>8</v>
      </c>
      <c r="F22">
        <v>5</v>
      </c>
      <c r="K22" t="s">
        <v>16</v>
      </c>
      <c r="O22">
        <v>25</v>
      </c>
      <c r="V22" t="s">
        <v>9</v>
      </c>
      <c r="W22" s="3">
        <v>34</v>
      </c>
      <c r="X22">
        <v>96</v>
      </c>
      <c r="Y22">
        <v>8</v>
      </c>
      <c r="Z22" s="3">
        <f t="shared" si="0"/>
        <v>26112</v>
      </c>
    </row>
    <row r="23" spans="3:31" x14ac:dyDescent="0.2">
      <c r="C23">
        <f>C19/C20/C21/C22</f>
        <v>57.291666666666664</v>
      </c>
      <c r="D23">
        <f>C19/D20/D21</f>
        <v>52.88461538461538</v>
      </c>
      <c r="F23">
        <f>F21*F22</f>
        <v>1640</v>
      </c>
      <c r="H23">
        <v>650</v>
      </c>
      <c r="K23" t="s">
        <v>17</v>
      </c>
      <c r="O23">
        <v>25</v>
      </c>
      <c r="V23" t="s">
        <v>10</v>
      </c>
      <c r="W23" s="3">
        <v>35</v>
      </c>
      <c r="X23">
        <v>96</v>
      </c>
      <c r="Y23">
        <v>8</v>
      </c>
      <c r="Z23" s="3">
        <f t="shared" si="0"/>
        <v>26880</v>
      </c>
    </row>
    <row r="24" spans="3:31" x14ac:dyDescent="0.2">
      <c r="H24">
        <v>15</v>
      </c>
      <c r="K24" t="s">
        <v>18</v>
      </c>
      <c r="O24">
        <v>25</v>
      </c>
      <c r="V24" t="s">
        <v>11</v>
      </c>
      <c r="W24" s="3">
        <v>36</v>
      </c>
      <c r="X24">
        <v>6</v>
      </c>
      <c r="Y24">
        <v>8</v>
      </c>
      <c r="Z24" s="3">
        <f t="shared" si="0"/>
        <v>1728</v>
      </c>
    </row>
    <row r="25" spans="3:31" x14ac:dyDescent="0.2">
      <c r="H25">
        <f>H23*H24</f>
        <v>9750</v>
      </c>
      <c r="K25" t="s">
        <v>19</v>
      </c>
      <c r="O25">
        <v>25</v>
      </c>
      <c r="V25" t="s">
        <v>27</v>
      </c>
      <c r="W25">
        <v>0</v>
      </c>
      <c r="X25">
        <v>0</v>
      </c>
      <c r="Y25">
        <v>0</v>
      </c>
      <c r="Z25">
        <v>0</v>
      </c>
    </row>
    <row r="26" spans="3:31" x14ac:dyDescent="0.2">
      <c r="K26" t="s">
        <v>20</v>
      </c>
      <c r="O26">
        <v>10000</v>
      </c>
      <c r="V26" t="s">
        <v>28</v>
      </c>
      <c r="W26">
        <v>0</v>
      </c>
      <c r="X26">
        <v>0</v>
      </c>
      <c r="Y26">
        <v>0</v>
      </c>
      <c r="Z26">
        <v>0</v>
      </c>
    </row>
    <row r="27" spans="3:31" x14ac:dyDescent="0.2">
      <c r="V27" t="s">
        <v>284</v>
      </c>
      <c r="W27" s="3">
        <v>45</v>
      </c>
      <c r="X27">
        <v>1</v>
      </c>
      <c r="Y27">
        <v>20</v>
      </c>
      <c r="Z27">
        <f t="shared" ref="Z27:Z30" si="1">W27*X27*Y27</f>
        <v>900</v>
      </c>
    </row>
    <row r="28" spans="3:31" x14ac:dyDescent="0.2">
      <c r="K28" t="s">
        <v>21</v>
      </c>
      <c r="O28">
        <v>328</v>
      </c>
      <c r="V28" t="s">
        <v>285</v>
      </c>
      <c r="W28">
        <v>20</v>
      </c>
      <c r="X28">
        <v>1</v>
      </c>
      <c r="Y28">
        <v>20</v>
      </c>
      <c r="Z28">
        <f t="shared" si="1"/>
        <v>400</v>
      </c>
      <c r="AD28" t="s">
        <v>118</v>
      </c>
      <c r="AE28" t="s">
        <v>119</v>
      </c>
    </row>
    <row r="29" spans="3:31" x14ac:dyDescent="0.2">
      <c r="F29">
        <v>172</v>
      </c>
      <c r="K29" t="s">
        <v>22</v>
      </c>
      <c r="O29">
        <v>7800</v>
      </c>
      <c r="V29" t="s">
        <v>30</v>
      </c>
      <c r="W29">
        <v>172</v>
      </c>
      <c r="X29">
        <v>1</v>
      </c>
      <c r="Y29">
        <v>5</v>
      </c>
      <c r="Z29">
        <f t="shared" si="1"/>
        <v>860</v>
      </c>
      <c r="AD29" t="s">
        <v>280</v>
      </c>
      <c r="AE29">
        <v>73317.399999999994</v>
      </c>
    </row>
    <row r="30" spans="3:31" x14ac:dyDescent="0.2">
      <c r="F30">
        <v>5</v>
      </c>
      <c r="K30" t="s">
        <v>23</v>
      </c>
      <c r="O30">
        <v>26000</v>
      </c>
      <c r="V30" t="s">
        <v>23</v>
      </c>
      <c r="W30">
        <v>1300</v>
      </c>
      <c r="X30">
        <v>1</v>
      </c>
      <c r="Y30">
        <v>20</v>
      </c>
      <c r="Z30">
        <f t="shared" si="1"/>
        <v>26000</v>
      </c>
      <c r="AD30" t="s">
        <v>281</v>
      </c>
      <c r="AE30">
        <v>491528</v>
      </c>
    </row>
    <row r="31" spans="3:31" x14ac:dyDescent="0.2">
      <c r="V31" t="s">
        <v>22</v>
      </c>
      <c r="W31">
        <v>650</v>
      </c>
      <c r="X31">
        <v>1</v>
      </c>
      <c r="Y31">
        <v>20</v>
      </c>
      <c r="Z31">
        <f t="shared" ref="Z31:Z34" si="2">W31*X31*Y31</f>
        <v>13000</v>
      </c>
      <c r="AD31" t="s">
        <v>123</v>
      </c>
    </row>
    <row r="32" spans="3:31" x14ac:dyDescent="0.2">
      <c r="V32" t="s">
        <v>31</v>
      </c>
      <c r="W32">
        <v>0</v>
      </c>
      <c r="X32">
        <v>0</v>
      </c>
      <c r="Y32">
        <v>0</v>
      </c>
      <c r="Z32">
        <f t="shared" si="2"/>
        <v>0</v>
      </c>
      <c r="AD32" t="s">
        <v>122</v>
      </c>
      <c r="AE32" s="3">
        <v>564845.4</v>
      </c>
    </row>
    <row r="33" spans="22:30" x14ac:dyDescent="0.2">
      <c r="V33" t="s">
        <v>32</v>
      </c>
      <c r="W33">
        <v>4</v>
      </c>
      <c r="X33">
        <v>5</v>
      </c>
      <c r="Y33">
        <v>20</v>
      </c>
      <c r="Z33">
        <f t="shared" si="2"/>
        <v>400</v>
      </c>
    </row>
    <row r="34" spans="22:30" x14ac:dyDescent="0.2">
      <c r="V34" t="s">
        <v>21</v>
      </c>
      <c r="W34">
        <v>432</v>
      </c>
      <c r="X34">
        <v>5</v>
      </c>
      <c r="Y34">
        <v>1</v>
      </c>
      <c r="Z34">
        <f t="shared" si="2"/>
        <v>2160</v>
      </c>
    </row>
    <row r="35" spans="22:30" x14ac:dyDescent="0.2">
      <c r="AD35" t="s">
        <v>282</v>
      </c>
    </row>
    <row r="36" spans="22:30" x14ac:dyDescent="0.2">
      <c r="AD36" t="s">
        <v>283</v>
      </c>
    </row>
    <row r="37" spans="22:30" x14ac:dyDescent="0.2">
      <c r="Z37">
        <f>SUM(Z5:Z35)</f>
        <v>535248</v>
      </c>
      <c r="AD37" t="s">
        <v>27</v>
      </c>
    </row>
    <row r="38" spans="22:30" x14ac:dyDescent="0.2">
      <c r="V38" t="s">
        <v>44</v>
      </c>
      <c r="Y38" s="2">
        <v>0.05</v>
      </c>
      <c r="Z38">
        <f>Z37*0.05</f>
        <v>26762.400000000001</v>
      </c>
      <c r="AD38" t="s">
        <v>28</v>
      </c>
    </row>
    <row r="39" spans="22:30" x14ac:dyDescent="0.2">
      <c r="Z39">
        <f>Z37+Z38</f>
        <v>562010.4</v>
      </c>
      <c r="AD39" t="s">
        <v>29</v>
      </c>
    </row>
    <row r="40" spans="22:30" x14ac:dyDescent="0.2">
      <c r="AD40" t="s">
        <v>30</v>
      </c>
    </row>
    <row r="41" spans="22:30" x14ac:dyDescent="0.2">
      <c r="AD41" t="s">
        <v>23</v>
      </c>
    </row>
    <row r="42" spans="22:30" x14ac:dyDescent="0.2">
      <c r="AD42" t="s">
        <v>22</v>
      </c>
    </row>
    <row r="43" spans="22:30" x14ac:dyDescent="0.2">
      <c r="AD43" t="s">
        <v>31</v>
      </c>
    </row>
    <row r="44" spans="22:30" x14ac:dyDescent="0.2">
      <c r="V44" s="1" t="s">
        <v>33</v>
      </c>
      <c r="AD44" t="s">
        <v>32</v>
      </c>
    </row>
    <row r="45" spans="22:30" x14ac:dyDescent="0.2">
      <c r="V45" t="s">
        <v>0</v>
      </c>
      <c r="W45">
        <v>53</v>
      </c>
      <c r="X45">
        <v>5</v>
      </c>
      <c r="Y45">
        <v>8</v>
      </c>
      <c r="Z45">
        <f>W45*X45*Y45</f>
        <v>2120</v>
      </c>
      <c r="AD45" t="s">
        <v>21</v>
      </c>
    </row>
    <row r="46" spans="22:30" x14ac:dyDescent="0.2">
      <c r="V46" t="s">
        <v>1</v>
      </c>
      <c r="W46">
        <v>51</v>
      </c>
      <c r="X46">
        <v>10</v>
      </c>
      <c r="Y46">
        <v>8</v>
      </c>
      <c r="Z46">
        <f>W46*X46*Y46</f>
        <v>4080</v>
      </c>
    </row>
    <row r="47" spans="22:30" x14ac:dyDescent="0.2">
      <c r="V47" t="s">
        <v>2</v>
      </c>
      <c r="W47">
        <v>52</v>
      </c>
      <c r="X47">
        <v>10</v>
      </c>
      <c r="Y47">
        <v>8</v>
      </c>
      <c r="Z47">
        <f>W47*X47*Y47</f>
        <v>4160</v>
      </c>
    </row>
    <row r="48" spans="22:30" x14ac:dyDescent="0.2">
      <c r="V48" t="s">
        <v>3</v>
      </c>
      <c r="W48">
        <v>34</v>
      </c>
      <c r="X48">
        <v>10</v>
      </c>
      <c r="Y48">
        <v>8</v>
      </c>
      <c r="Z48">
        <f t="shared" ref="Z48:Z64" si="3">W48*X48*Y48</f>
        <v>2720</v>
      </c>
    </row>
    <row r="49" spans="22:34" x14ac:dyDescent="0.2">
      <c r="V49" t="s">
        <v>4</v>
      </c>
      <c r="W49">
        <v>42</v>
      </c>
      <c r="X49">
        <v>10</v>
      </c>
      <c r="Y49">
        <v>8</v>
      </c>
      <c r="Z49">
        <f t="shared" si="3"/>
        <v>3360</v>
      </c>
      <c r="AD49" t="s">
        <v>286</v>
      </c>
      <c r="AE49" t="s">
        <v>119</v>
      </c>
    </row>
    <row r="50" spans="22:34" x14ac:dyDescent="0.2">
      <c r="V50" t="s">
        <v>5</v>
      </c>
      <c r="W50">
        <v>48</v>
      </c>
      <c r="X50">
        <v>10</v>
      </c>
      <c r="Y50">
        <v>8</v>
      </c>
      <c r="Z50">
        <f t="shared" si="3"/>
        <v>3840</v>
      </c>
      <c r="AD50" t="s">
        <v>280</v>
      </c>
    </row>
    <row r="51" spans="22:34" x14ac:dyDescent="0.2">
      <c r="V51" t="s">
        <v>6</v>
      </c>
      <c r="W51">
        <v>46</v>
      </c>
      <c r="X51">
        <v>10</v>
      </c>
      <c r="Y51">
        <v>8</v>
      </c>
      <c r="Z51">
        <f t="shared" si="3"/>
        <v>3680</v>
      </c>
    </row>
    <row r="52" spans="22:34" x14ac:dyDescent="0.2">
      <c r="V52" t="s">
        <v>12</v>
      </c>
      <c r="W52">
        <v>46</v>
      </c>
      <c r="X52">
        <v>10</v>
      </c>
      <c r="Y52">
        <v>8</v>
      </c>
      <c r="Z52">
        <f t="shared" si="3"/>
        <v>3680</v>
      </c>
    </row>
    <row r="53" spans="22:34" ht="34" x14ac:dyDescent="0.2">
      <c r="V53" t="s">
        <v>14</v>
      </c>
      <c r="W53">
        <v>33</v>
      </c>
      <c r="X53">
        <v>10</v>
      </c>
      <c r="Y53">
        <v>8</v>
      </c>
      <c r="Z53">
        <f t="shared" si="3"/>
        <v>2640</v>
      </c>
      <c r="AD53" t="s">
        <v>50</v>
      </c>
      <c r="AE53" t="s">
        <v>26</v>
      </c>
      <c r="AF53" s="5" t="s">
        <v>287</v>
      </c>
      <c r="AG53" t="s">
        <v>288</v>
      </c>
      <c r="AH53" t="s">
        <v>289</v>
      </c>
    </row>
    <row r="54" spans="22:34" ht="34" x14ac:dyDescent="0.2">
      <c r="V54" t="s">
        <v>13</v>
      </c>
      <c r="W54">
        <v>33</v>
      </c>
      <c r="X54">
        <v>10</v>
      </c>
      <c r="Y54">
        <v>8</v>
      </c>
      <c r="Z54">
        <f t="shared" si="3"/>
        <v>2640</v>
      </c>
      <c r="AD54" s="5" t="s">
        <v>0</v>
      </c>
      <c r="AE54" s="5" t="str">
        <f t="shared" ref="AE54:AE73" si="4">" "&amp; Y5 &amp;" hours x " &amp; X5 &amp; " days"</f>
        <v xml:space="preserve"> 8 hours x 5 days</v>
      </c>
      <c r="AF54" s="3">
        <f>W5</f>
        <v>53</v>
      </c>
      <c r="AG54" s="3">
        <f>Z5</f>
        <v>2120</v>
      </c>
      <c r="AH54" s="29" t="s">
        <v>0</v>
      </c>
    </row>
    <row r="55" spans="22:34" ht="34" x14ac:dyDescent="0.2">
      <c r="V55" t="s">
        <v>15</v>
      </c>
      <c r="W55">
        <v>28</v>
      </c>
      <c r="X55">
        <v>10</v>
      </c>
      <c r="Y55">
        <v>8</v>
      </c>
      <c r="Z55">
        <f t="shared" si="3"/>
        <v>2240</v>
      </c>
      <c r="AD55" s="5" t="s">
        <v>308</v>
      </c>
      <c r="AE55" s="5" t="str">
        <f t="shared" si="4"/>
        <v xml:space="preserve"> 8 hours x 96 days</v>
      </c>
      <c r="AF55" s="3">
        <f t="shared" ref="AF55:AF73" si="5">W6</f>
        <v>51</v>
      </c>
      <c r="AG55" s="3">
        <f t="shared" ref="AG55:AG73" si="6">Z6</f>
        <v>39168</v>
      </c>
      <c r="AH55" s="29" t="s">
        <v>308</v>
      </c>
    </row>
    <row r="56" spans="22:34" ht="34" x14ac:dyDescent="0.2">
      <c r="V56" t="s">
        <v>7</v>
      </c>
      <c r="W56">
        <v>28</v>
      </c>
      <c r="X56">
        <v>10</v>
      </c>
      <c r="Y56">
        <v>8</v>
      </c>
      <c r="Z56">
        <f t="shared" si="3"/>
        <v>2240</v>
      </c>
      <c r="AD56" s="5" t="s">
        <v>2</v>
      </c>
      <c r="AE56" s="5" t="str">
        <f t="shared" si="4"/>
        <v xml:space="preserve"> 8 hours x 96 days</v>
      </c>
      <c r="AF56" s="3">
        <f t="shared" si="5"/>
        <v>52</v>
      </c>
      <c r="AG56" s="3">
        <f t="shared" si="6"/>
        <v>39936</v>
      </c>
      <c r="AH56" s="29" t="s">
        <v>2</v>
      </c>
    </row>
    <row r="57" spans="22:34" ht="34" x14ac:dyDescent="0.2">
      <c r="V57" t="s">
        <v>19</v>
      </c>
      <c r="W57">
        <v>25</v>
      </c>
      <c r="X57">
        <v>10</v>
      </c>
      <c r="Y57">
        <v>8</v>
      </c>
      <c r="Z57">
        <f t="shared" si="3"/>
        <v>2000</v>
      </c>
      <c r="AD57" s="5" t="s">
        <v>3</v>
      </c>
      <c r="AE57" s="5" t="str">
        <f t="shared" si="4"/>
        <v xml:space="preserve"> 8 hours x 96 days</v>
      </c>
      <c r="AF57" s="3">
        <f t="shared" si="5"/>
        <v>34</v>
      </c>
      <c r="AG57" s="3">
        <f t="shared" si="6"/>
        <v>26112</v>
      </c>
      <c r="AH57" s="29" t="s">
        <v>3</v>
      </c>
    </row>
    <row r="58" spans="22:34" ht="34" x14ac:dyDescent="0.2">
      <c r="V58" t="s">
        <v>18</v>
      </c>
      <c r="W58">
        <v>25</v>
      </c>
      <c r="X58">
        <v>10</v>
      </c>
      <c r="Y58">
        <v>8</v>
      </c>
      <c r="Z58">
        <f t="shared" si="3"/>
        <v>2000</v>
      </c>
      <c r="AD58" s="5" t="s">
        <v>4</v>
      </c>
      <c r="AE58" s="5" t="str">
        <f t="shared" si="4"/>
        <v xml:space="preserve"> 8 hours x 96 days</v>
      </c>
      <c r="AF58" s="3">
        <f t="shared" si="5"/>
        <v>42</v>
      </c>
      <c r="AG58" s="3">
        <f t="shared" si="6"/>
        <v>32256</v>
      </c>
      <c r="AH58" s="29" t="s">
        <v>4</v>
      </c>
    </row>
    <row r="59" spans="22:34" ht="34" x14ac:dyDescent="0.2">
      <c r="V59" t="s">
        <v>17</v>
      </c>
      <c r="W59">
        <v>25</v>
      </c>
      <c r="X59">
        <v>10</v>
      </c>
      <c r="Y59">
        <v>8</v>
      </c>
      <c r="Z59">
        <f t="shared" si="3"/>
        <v>2000</v>
      </c>
      <c r="AD59" s="5" t="s">
        <v>5</v>
      </c>
      <c r="AE59" s="5" t="str">
        <f t="shared" si="4"/>
        <v xml:space="preserve"> 8 hours x 96 days</v>
      </c>
      <c r="AF59" s="3">
        <f t="shared" si="5"/>
        <v>48</v>
      </c>
      <c r="AG59" s="3">
        <f t="shared" si="6"/>
        <v>36864</v>
      </c>
      <c r="AH59" s="29" t="s">
        <v>5</v>
      </c>
    </row>
    <row r="60" spans="22:34" ht="34" x14ac:dyDescent="0.2">
      <c r="V60" t="s">
        <v>16</v>
      </c>
      <c r="W60">
        <v>25</v>
      </c>
      <c r="X60">
        <v>10</v>
      </c>
      <c r="Y60">
        <v>8</v>
      </c>
      <c r="Z60">
        <f t="shared" si="3"/>
        <v>2000</v>
      </c>
      <c r="AD60" s="5" t="s">
        <v>6</v>
      </c>
      <c r="AE60" s="5" t="str">
        <f t="shared" si="4"/>
        <v xml:space="preserve"> 8 hours x 96 days</v>
      </c>
      <c r="AF60" s="3">
        <f t="shared" si="5"/>
        <v>46</v>
      </c>
      <c r="AG60" s="3">
        <f t="shared" si="6"/>
        <v>35328</v>
      </c>
      <c r="AH60" s="29" t="s">
        <v>309</v>
      </c>
    </row>
    <row r="61" spans="22:34" ht="51" x14ac:dyDescent="0.2">
      <c r="V61" t="s">
        <v>8</v>
      </c>
      <c r="W61">
        <v>25</v>
      </c>
      <c r="X61">
        <v>10</v>
      </c>
      <c r="Y61">
        <v>8</v>
      </c>
      <c r="Z61">
        <f t="shared" si="3"/>
        <v>2000</v>
      </c>
      <c r="AD61" s="5" t="s">
        <v>12</v>
      </c>
      <c r="AE61" s="5" t="str">
        <f t="shared" si="4"/>
        <v xml:space="preserve"> 8 hours x 96 days</v>
      </c>
      <c r="AF61" s="3">
        <f t="shared" si="5"/>
        <v>46</v>
      </c>
      <c r="AG61" s="3">
        <f t="shared" si="6"/>
        <v>35328</v>
      </c>
      <c r="AH61" s="29" t="s">
        <v>309</v>
      </c>
    </row>
    <row r="62" spans="22:34" ht="68" x14ac:dyDescent="0.2">
      <c r="V62" t="s">
        <v>9</v>
      </c>
      <c r="W62">
        <v>34</v>
      </c>
      <c r="X62">
        <v>10</v>
      </c>
      <c r="Y62">
        <v>8</v>
      </c>
      <c r="Z62">
        <f t="shared" si="3"/>
        <v>2720</v>
      </c>
      <c r="AD62" s="5" t="s">
        <v>14</v>
      </c>
      <c r="AE62" s="5" t="str">
        <f t="shared" si="4"/>
        <v xml:space="preserve"> 8 hours x 96 days</v>
      </c>
      <c r="AF62" s="3">
        <f t="shared" si="5"/>
        <v>33</v>
      </c>
      <c r="AG62" s="3">
        <f t="shared" si="6"/>
        <v>25344</v>
      </c>
      <c r="AH62" s="29" t="s">
        <v>310</v>
      </c>
    </row>
    <row r="63" spans="22:34" ht="68" x14ac:dyDescent="0.2">
      <c r="V63" t="s">
        <v>10</v>
      </c>
      <c r="W63">
        <v>35</v>
      </c>
      <c r="X63">
        <v>10</v>
      </c>
      <c r="Y63">
        <v>8</v>
      </c>
      <c r="Z63">
        <f t="shared" si="3"/>
        <v>2800</v>
      </c>
      <c r="AD63" s="5" t="s">
        <v>13</v>
      </c>
      <c r="AE63" s="5" t="str">
        <f t="shared" si="4"/>
        <v xml:space="preserve"> 8 hours x 96 days</v>
      </c>
      <c r="AF63" s="3">
        <f t="shared" si="5"/>
        <v>33</v>
      </c>
      <c r="AG63" s="3">
        <f t="shared" si="6"/>
        <v>25344</v>
      </c>
      <c r="AH63" s="29" t="s">
        <v>310</v>
      </c>
    </row>
    <row r="64" spans="22:34" ht="68" x14ac:dyDescent="0.2">
      <c r="V64" t="s">
        <v>11</v>
      </c>
      <c r="W64">
        <v>36</v>
      </c>
      <c r="X64">
        <v>0</v>
      </c>
      <c r="Y64">
        <v>8</v>
      </c>
      <c r="Z64">
        <f t="shared" si="3"/>
        <v>0</v>
      </c>
      <c r="AD64" s="5" t="s">
        <v>15</v>
      </c>
      <c r="AE64" s="5" t="str">
        <f t="shared" si="4"/>
        <v xml:space="preserve"> 8 hours x 96 days</v>
      </c>
      <c r="AF64" s="3">
        <f t="shared" si="5"/>
        <v>28</v>
      </c>
      <c r="AG64" s="3">
        <f t="shared" si="6"/>
        <v>21504</v>
      </c>
      <c r="AH64" s="29" t="s">
        <v>311</v>
      </c>
    </row>
    <row r="65" spans="22:35" ht="68" x14ac:dyDescent="0.2">
      <c r="V65" t="s">
        <v>27</v>
      </c>
      <c r="W65">
        <v>0</v>
      </c>
      <c r="X65">
        <v>0</v>
      </c>
      <c r="Y65">
        <v>0</v>
      </c>
      <c r="Z65">
        <v>0</v>
      </c>
      <c r="AD65" s="5" t="s">
        <v>7</v>
      </c>
      <c r="AE65" s="5" t="str">
        <f t="shared" si="4"/>
        <v xml:space="preserve"> 8 hours x 96 days</v>
      </c>
      <c r="AF65" s="3">
        <f t="shared" si="5"/>
        <v>28</v>
      </c>
      <c r="AG65" s="3">
        <f t="shared" si="6"/>
        <v>21504</v>
      </c>
      <c r="AH65" s="29" t="s">
        <v>311</v>
      </c>
    </row>
    <row r="66" spans="22:35" ht="68" x14ac:dyDescent="0.2">
      <c r="V66" t="s">
        <v>28</v>
      </c>
      <c r="W66">
        <v>0</v>
      </c>
      <c r="X66">
        <v>0</v>
      </c>
      <c r="Y66">
        <v>0</v>
      </c>
      <c r="Z66">
        <v>0</v>
      </c>
      <c r="AD66" s="5" t="s">
        <v>19</v>
      </c>
      <c r="AE66" s="5" t="str">
        <f t="shared" si="4"/>
        <v xml:space="preserve"> 8 hours x 96 days</v>
      </c>
      <c r="AF66" s="3">
        <f t="shared" si="5"/>
        <v>25</v>
      </c>
      <c r="AG66" s="3">
        <f t="shared" si="6"/>
        <v>19200</v>
      </c>
      <c r="AH66" s="29" t="s">
        <v>312</v>
      </c>
    </row>
    <row r="67" spans="22:35" ht="68" x14ac:dyDescent="0.2">
      <c r="V67" t="s">
        <v>29</v>
      </c>
      <c r="W67">
        <v>200</v>
      </c>
      <c r="X67">
        <v>1</v>
      </c>
      <c r="Y67">
        <v>20</v>
      </c>
      <c r="Z67">
        <v>1300</v>
      </c>
      <c r="AD67" s="5" t="s">
        <v>18</v>
      </c>
      <c r="AE67" s="5" t="str">
        <f t="shared" si="4"/>
        <v xml:space="preserve"> 8 hours x 96 days</v>
      </c>
      <c r="AF67" s="3">
        <f t="shared" si="5"/>
        <v>25</v>
      </c>
      <c r="AG67" s="3">
        <f t="shared" si="6"/>
        <v>19200</v>
      </c>
      <c r="AH67" s="29" t="s">
        <v>312</v>
      </c>
    </row>
    <row r="68" spans="22:35" ht="68" x14ac:dyDescent="0.2">
      <c r="V68" t="s">
        <v>30</v>
      </c>
      <c r="W68">
        <v>172</v>
      </c>
      <c r="X68">
        <v>1</v>
      </c>
      <c r="Y68">
        <v>5</v>
      </c>
      <c r="Z68">
        <f t="shared" ref="Z67:Z73" si="7">W68*X68*Y68</f>
        <v>860</v>
      </c>
      <c r="AD68" s="5" t="s">
        <v>17</v>
      </c>
      <c r="AE68" s="5" t="str">
        <f t="shared" si="4"/>
        <v xml:space="preserve"> 8 hours x 96 days</v>
      </c>
      <c r="AF68" s="3">
        <f t="shared" si="5"/>
        <v>25</v>
      </c>
      <c r="AG68" s="3">
        <f t="shared" si="6"/>
        <v>19200</v>
      </c>
      <c r="AH68" s="29" t="s">
        <v>312</v>
      </c>
    </row>
    <row r="69" spans="22:35" ht="68" x14ac:dyDescent="0.2">
      <c r="V69" t="s">
        <v>23</v>
      </c>
      <c r="W69">
        <v>1300</v>
      </c>
      <c r="X69">
        <v>1</v>
      </c>
      <c r="Y69">
        <v>20</v>
      </c>
      <c r="Z69">
        <f t="shared" si="7"/>
        <v>26000</v>
      </c>
      <c r="AD69" s="5" t="s">
        <v>16</v>
      </c>
      <c r="AE69" s="5" t="str">
        <f t="shared" si="4"/>
        <v xml:space="preserve"> 8 hours x 96 days</v>
      </c>
      <c r="AF69" s="3">
        <f t="shared" si="5"/>
        <v>25</v>
      </c>
      <c r="AG69" s="3">
        <f t="shared" si="6"/>
        <v>19200</v>
      </c>
      <c r="AH69" s="29" t="s">
        <v>312</v>
      </c>
    </row>
    <row r="70" spans="22:35" ht="68" x14ac:dyDescent="0.2">
      <c r="V70" t="s">
        <v>22</v>
      </c>
      <c r="W70">
        <v>650</v>
      </c>
      <c r="X70">
        <v>1</v>
      </c>
      <c r="Y70">
        <v>20</v>
      </c>
      <c r="Z70">
        <f t="shared" si="7"/>
        <v>13000</v>
      </c>
      <c r="AD70" s="5" t="s">
        <v>8</v>
      </c>
      <c r="AE70" s="5" t="str">
        <f t="shared" si="4"/>
        <v xml:space="preserve"> 8 hours x 96 days</v>
      </c>
      <c r="AF70" s="3">
        <f t="shared" si="5"/>
        <v>25</v>
      </c>
      <c r="AG70" s="3">
        <f t="shared" si="6"/>
        <v>19200</v>
      </c>
      <c r="AH70" s="29" t="s">
        <v>312</v>
      </c>
    </row>
    <row r="71" spans="22:35" ht="34" x14ac:dyDescent="0.2">
      <c r="V71" t="s">
        <v>31</v>
      </c>
      <c r="W71">
        <v>0</v>
      </c>
      <c r="X71">
        <v>0</v>
      </c>
      <c r="Y71">
        <v>0</v>
      </c>
      <c r="Z71">
        <f t="shared" si="7"/>
        <v>0</v>
      </c>
      <c r="AD71" s="5" t="s">
        <v>9</v>
      </c>
      <c r="AE71" s="5" t="str">
        <f t="shared" si="4"/>
        <v xml:space="preserve"> 8 hours x 96 days</v>
      </c>
      <c r="AF71" s="3">
        <f t="shared" si="5"/>
        <v>34</v>
      </c>
      <c r="AG71" s="3">
        <f t="shared" si="6"/>
        <v>26112</v>
      </c>
      <c r="AH71" s="29" t="s">
        <v>9</v>
      </c>
    </row>
    <row r="72" spans="22:35" ht="68" x14ac:dyDescent="0.2">
      <c r="V72" t="s">
        <v>32</v>
      </c>
      <c r="W72">
        <v>4</v>
      </c>
      <c r="X72">
        <v>5</v>
      </c>
      <c r="Y72">
        <v>20</v>
      </c>
      <c r="Z72">
        <f t="shared" si="7"/>
        <v>400</v>
      </c>
      <c r="AD72" s="5" t="s">
        <v>10</v>
      </c>
      <c r="AE72" s="5" t="str">
        <f t="shared" si="4"/>
        <v xml:space="preserve"> 8 hours x 96 days</v>
      </c>
      <c r="AF72" s="3">
        <f t="shared" si="5"/>
        <v>35</v>
      </c>
      <c r="AG72" s="3">
        <f t="shared" si="6"/>
        <v>26880</v>
      </c>
      <c r="AH72" s="29" t="s">
        <v>10</v>
      </c>
    </row>
    <row r="73" spans="22:35" ht="34" x14ac:dyDescent="0.2">
      <c r="V73" t="s">
        <v>21</v>
      </c>
      <c r="W73">
        <v>432</v>
      </c>
      <c r="X73">
        <v>5</v>
      </c>
      <c r="Y73">
        <v>1</v>
      </c>
      <c r="Z73">
        <f t="shared" si="7"/>
        <v>2160</v>
      </c>
      <c r="AD73" s="5" t="s">
        <v>11</v>
      </c>
      <c r="AE73" s="5" t="str">
        <f t="shared" si="4"/>
        <v xml:space="preserve"> 8 hours x 6 days</v>
      </c>
      <c r="AF73" s="3">
        <f t="shared" si="5"/>
        <v>36</v>
      </c>
      <c r="AG73" s="3">
        <f t="shared" si="6"/>
        <v>1728</v>
      </c>
      <c r="AH73" s="29" t="s">
        <v>11</v>
      </c>
    </row>
    <row r="74" spans="22:35" ht="17" x14ac:dyDescent="0.2">
      <c r="AD74" s="5" t="s">
        <v>122</v>
      </c>
      <c r="AG74" s="3">
        <f>SUM(AG54:AG73)</f>
        <v>491528</v>
      </c>
      <c r="AH74" s="5"/>
    </row>
    <row r="76" spans="22:35" x14ac:dyDescent="0.2">
      <c r="Y76" s="1" t="s">
        <v>33</v>
      </c>
      <c r="Z76">
        <f>SUM(Z45:Z74)</f>
        <v>96640</v>
      </c>
    </row>
    <row r="77" spans="22:35" x14ac:dyDescent="0.2">
      <c r="V77" t="s">
        <v>44</v>
      </c>
      <c r="Y77" s="2">
        <v>0.05</v>
      </c>
      <c r="Z77">
        <f>Z76*0.05</f>
        <v>4832</v>
      </c>
    </row>
    <row r="78" spans="22:35" ht="17" x14ac:dyDescent="0.2">
      <c r="Z78">
        <f>Z76+Z77</f>
        <v>101472</v>
      </c>
      <c r="AD78" s="30" t="s">
        <v>290</v>
      </c>
      <c r="AE78" s="30" t="s">
        <v>291</v>
      </c>
      <c r="AF78" s="27" t="s">
        <v>292</v>
      </c>
      <c r="AG78" s="27" t="s">
        <v>288</v>
      </c>
      <c r="AH78" s="30" t="s">
        <v>293</v>
      </c>
      <c r="AI78" s="27" t="s">
        <v>289</v>
      </c>
    </row>
    <row r="79" spans="22:35" ht="34" x14ac:dyDescent="0.2">
      <c r="AD79" s="5" t="s">
        <v>284</v>
      </c>
      <c r="AE79" s="5" t="s">
        <v>295</v>
      </c>
      <c r="AF79" s="3">
        <v>45</v>
      </c>
      <c r="AG79" s="3">
        <v>900</v>
      </c>
      <c r="AH79" s="5" t="s">
        <v>297</v>
      </c>
      <c r="AI79" s="28" t="s">
        <v>303</v>
      </c>
    </row>
    <row r="80" spans="22:35" ht="34" x14ac:dyDescent="0.2">
      <c r="AD80" s="5" t="s">
        <v>285</v>
      </c>
      <c r="AE80" s="5" t="s">
        <v>295</v>
      </c>
      <c r="AF80" s="3">
        <v>20</v>
      </c>
      <c r="AG80" s="3">
        <v>400</v>
      </c>
      <c r="AH80" s="5" t="s">
        <v>297</v>
      </c>
      <c r="AI80" s="28" t="s">
        <v>302</v>
      </c>
    </row>
    <row r="81" spans="22:35" ht="34" x14ac:dyDescent="0.2">
      <c r="AD81" s="5" t="s">
        <v>30</v>
      </c>
      <c r="AE81" s="5" t="s">
        <v>294</v>
      </c>
      <c r="AF81" s="3">
        <v>172</v>
      </c>
      <c r="AG81" s="3">
        <v>860</v>
      </c>
      <c r="AH81" s="5" t="s">
        <v>301</v>
      </c>
      <c r="AI81" s="28" t="s">
        <v>30</v>
      </c>
    </row>
    <row r="82" spans="22:35" ht="34" x14ac:dyDescent="0.2">
      <c r="V82" s="1" t="s">
        <v>34</v>
      </c>
      <c r="AD82" s="5" t="s">
        <v>23</v>
      </c>
      <c r="AE82" s="5" t="s">
        <v>295</v>
      </c>
      <c r="AF82" s="3">
        <v>1300</v>
      </c>
      <c r="AG82" s="3">
        <v>26000</v>
      </c>
      <c r="AH82" s="5" t="s">
        <v>297</v>
      </c>
      <c r="AI82" s="28" t="s">
        <v>304</v>
      </c>
    </row>
    <row r="83" spans="22:35" ht="34" x14ac:dyDescent="0.2">
      <c r="V83" t="s">
        <v>0</v>
      </c>
      <c r="W83">
        <v>53</v>
      </c>
      <c r="X83">
        <v>0</v>
      </c>
      <c r="Y83">
        <v>8</v>
      </c>
      <c r="Z83">
        <f>W83*X83*Y83</f>
        <v>0</v>
      </c>
      <c r="AD83" s="5" t="s">
        <v>22</v>
      </c>
      <c r="AE83" s="5" t="s">
        <v>295</v>
      </c>
      <c r="AF83" s="3">
        <v>650</v>
      </c>
      <c r="AG83" s="3">
        <v>13000</v>
      </c>
      <c r="AH83" s="5" t="s">
        <v>297</v>
      </c>
      <c r="AI83" s="28" t="s">
        <v>305</v>
      </c>
    </row>
    <row r="84" spans="22:35" ht="34" x14ac:dyDescent="0.2">
      <c r="V84" t="s">
        <v>1</v>
      </c>
      <c r="W84">
        <v>51</v>
      </c>
      <c r="X84">
        <v>7</v>
      </c>
      <c r="Y84">
        <v>8</v>
      </c>
      <c r="Z84">
        <f>W84*X84*Y84</f>
        <v>2856</v>
      </c>
      <c r="AD84" s="5" t="s">
        <v>31</v>
      </c>
      <c r="AE84" s="5">
        <v>0</v>
      </c>
      <c r="AF84" s="3">
        <v>0</v>
      </c>
      <c r="AG84" s="3">
        <v>0</v>
      </c>
      <c r="AH84" s="5" t="s">
        <v>298</v>
      </c>
      <c r="AI84" s="28" t="s">
        <v>306</v>
      </c>
    </row>
    <row r="85" spans="22:35" ht="51" x14ac:dyDescent="0.2">
      <c r="V85" t="s">
        <v>2</v>
      </c>
      <c r="W85">
        <v>52</v>
      </c>
      <c r="X85">
        <v>7</v>
      </c>
      <c r="Y85">
        <v>8</v>
      </c>
      <c r="Z85">
        <f>W85*X85*Y85</f>
        <v>2912</v>
      </c>
      <c r="AD85" s="5" t="s">
        <v>32</v>
      </c>
      <c r="AE85" s="5" t="s">
        <v>296</v>
      </c>
      <c r="AF85" s="3">
        <v>4</v>
      </c>
      <c r="AG85" s="3">
        <v>400</v>
      </c>
      <c r="AH85" s="5" t="s">
        <v>299</v>
      </c>
      <c r="AI85" s="28" t="s">
        <v>32</v>
      </c>
    </row>
    <row r="86" spans="22:35" ht="34" x14ac:dyDescent="0.2">
      <c r="V86" t="s">
        <v>3</v>
      </c>
      <c r="W86">
        <v>34</v>
      </c>
      <c r="X86">
        <v>7</v>
      </c>
      <c r="Y86">
        <v>8</v>
      </c>
      <c r="Z86">
        <f t="shared" ref="Z86:Z102" si="8">W86*X86*Y86</f>
        <v>1904</v>
      </c>
      <c r="AD86" s="5" t="s">
        <v>21</v>
      </c>
      <c r="AE86" s="5" t="s">
        <v>294</v>
      </c>
      <c r="AF86" s="3">
        <v>432</v>
      </c>
      <c r="AG86" s="3">
        <v>2160</v>
      </c>
      <c r="AH86" s="5" t="s">
        <v>300</v>
      </c>
      <c r="AI86" s="28" t="s">
        <v>307</v>
      </c>
    </row>
    <row r="87" spans="22:35" ht="34" x14ac:dyDescent="0.2">
      <c r="V87" t="s">
        <v>4</v>
      </c>
      <c r="W87">
        <v>42</v>
      </c>
      <c r="X87">
        <v>7</v>
      </c>
      <c r="Y87">
        <v>8</v>
      </c>
      <c r="Z87">
        <f t="shared" si="8"/>
        <v>2352</v>
      </c>
      <c r="AD87" s="5" t="s">
        <v>27</v>
      </c>
      <c r="AE87" s="5">
        <v>0</v>
      </c>
      <c r="AF87" s="3">
        <v>0</v>
      </c>
      <c r="AG87" s="3">
        <v>0</v>
      </c>
      <c r="AH87" s="5" t="s">
        <v>314</v>
      </c>
    </row>
    <row r="88" spans="22:35" ht="34" x14ac:dyDescent="0.2">
      <c r="V88" t="s">
        <v>5</v>
      </c>
      <c r="W88">
        <v>48</v>
      </c>
      <c r="X88">
        <v>7</v>
      </c>
      <c r="Y88">
        <v>8</v>
      </c>
      <c r="Z88">
        <f t="shared" si="8"/>
        <v>2688</v>
      </c>
      <c r="AD88" s="5" t="s">
        <v>28</v>
      </c>
      <c r="AE88" s="5">
        <v>0</v>
      </c>
      <c r="AF88" s="3">
        <v>0</v>
      </c>
      <c r="AG88" s="3">
        <v>0</v>
      </c>
      <c r="AH88" s="5" t="s">
        <v>315</v>
      </c>
    </row>
    <row r="89" spans="22:35" ht="17" x14ac:dyDescent="0.2">
      <c r="V89" t="s">
        <v>6</v>
      </c>
      <c r="W89">
        <v>46</v>
      </c>
      <c r="X89">
        <v>7</v>
      </c>
      <c r="Y89">
        <v>8</v>
      </c>
      <c r="Z89">
        <f t="shared" si="8"/>
        <v>2576</v>
      </c>
      <c r="AD89" s="30" t="s">
        <v>122</v>
      </c>
      <c r="AF89" s="3"/>
      <c r="AG89" s="32">
        <f>SUM(AG79:AG88)</f>
        <v>43720</v>
      </c>
    </row>
    <row r="90" spans="22:35" x14ac:dyDescent="0.2">
      <c r="V90" t="s">
        <v>12</v>
      </c>
      <c r="W90">
        <v>46</v>
      </c>
      <c r="X90">
        <v>7</v>
      </c>
      <c r="Y90">
        <v>8</v>
      </c>
      <c r="Z90">
        <f t="shared" si="8"/>
        <v>2576</v>
      </c>
    </row>
    <row r="91" spans="22:35" x14ac:dyDescent="0.2">
      <c r="V91" t="s">
        <v>14</v>
      </c>
      <c r="W91">
        <v>33</v>
      </c>
      <c r="X91">
        <v>7</v>
      </c>
      <c r="Y91">
        <v>8</v>
      </c>
      <c r="Z91">
        <f t="shared" si="8"/>
        <v>1848</v>
      </c>
    </row>
    <row r="92" spans="22:35" ht="34" x14ac:dyDescent="0.2">
      <c r="V92" t="s">
        <v>13</v>
      </c>
      <c r="W92">
        <v>33</v>
      </c>
      <c r="X92">
        <v>7</v>
      </c>
      <c r="Y92">
        <v>8</v>
      </c>
      <c r="Z92">
        <f t="shared" si="8"/>
        <v>1848</v>
      </c>
      <c r="AD92" s="30" t="s">
        <v>118</v>
      </c>
      <c r="AE92" s="30" t="s">
        <v>119</v>
      </c>
    </row>
    <row r="93" spans="22:35" ht="17" x14ac:dyDescent="0.2">
      <c r="V93" t="s">
        <v>15</v>
      </c>
      <c r="W93">
        <v>28</v>
      </c>
      <c r="X93">
        <v>7</v>
      </c>
      <c r="Y93">
        <v>8</v>
      </c>
      <c r="Z93">
        <f t="shared" si="8"/>
        <v>1568</v>
      </c>
      <c r="AD93" s="5" t="s">
        <v>280</v>
      </c>
      <c r="AE93" s="31">
        <f>AG89</f>
        <v>43720</v>
      </c>
    </row>
    <row r="94" spans="22:35" ht="17" x14ac:dyDescent="0.2">
      <c r="V94" t="s">
        <v>7</v>
      </c>
      <c r="W94">
        <v>28</v>
      </c>
      <c r="X94">
        <v>7</v>
      </c>
      <c r="Y94">
        <v>8</v>
      </c>
      <c r="Z94">
        <f t="shared" si="8"/>
        <v>1568</v>
      </c>
      <c r="AD94" s="5" t="s">
        <v>281</v>
      </c>
      <c r="AE94" s="31">
        <f>SUM(Z5:Z24)</f>
        <v>491528</v>
      </c>
    </row>
    <row r="95" spans="22:35" ht="34" x14ac:dyDescent="0.2">
      <c r="V95" t="s">
        <v>19</v>
      </c>
      <c r="W95">
        <v>25</v>
      </c>
      <c r="X95">
        <v>7</v>
      </c>
      <c r="Y95">
        <v>8</v>
      </c>
      <c r="Z95">
        <f t="shared" si="8"/>
        <v>1400</v>
      </c>
      <c r="AD95" s="5" t="s">
        <v>313</v>
      </c>
      <c r="AE95" s="31">
        <f>SUM(AE93:AE94)*0.05</f>
        <v>26762.400000000001</v>
      </c>
    </row>
    <row r="96" spans="22:35" ht="17" x14ac:dyDescent="0.2">
      <c r="V96" t="s">
        <v>18</v>
      </c>
      <c r="W96">
        <v>25</v>
      </c>
      <c r="X96">
        <v>7</v>
      </c>
      <c r="Y96">
        <v>8</v>
      </c>
      <c r="Z96">
        <f t="shared" si="8"/>
        <v>1400</v>
      </c>
      <c r="AD96" s="5" t="s">
        <v>122</v>
      </c>
      <c r="AE96" s="49">
        <f>SUM(AE93:AE95)</f>
        <v>562010.4</v>
      </c>
    </row>
    <row r="97" spans="22:26" x14ac:dyDescent="0.2">
      <c r="V97" t="s">
        <v>17</v>
      </c>
      <c r="W97">
        <v>25</v>
      </c>
      <c r="X97">
        <v>7</v>
      </c>
      <c r="Y97">
        <v>8</v>
      </c>
      <c r="Z97">
        <f t="shared" si="8"/>
        <v>1400</v>
      </c>
    </row>
    <row r="98" spans="22:26" x14ac:dyDescent="0.2">
      <c r="V98" t="s">
        <v>16</v>
      </c>
      <c r="W98">
        <v>25</v>
      </c>
      <c r="X98">
        <v>7</v>
      </c>
      <c r="Y98">
        <v>8</v>
      </c>
      <c r="Z98">
        <f t="shared" si="8"/>
        <v>1400</v>
      </c>
    </row>
    <row r="99" spans="22:26" x14ac:dyDescent="0.2">
      <c r="V99" t="s">
        <v>8</v>
      </c>
      <c r="W99">
        <v>25</v>
      </c>
      <c r="X99">
        <v>7</v>
      </c>
      <c r="Y99">
        <v>8</v>
      </c>
      <c r="Z99">
        <f t="shared" si="8"/>
        <v>1400</v>
      </c>
    </row>
    <row r="100" spans="22:26" x14ac:dyDescent="0.2">
      <c r="V100" t="s">
        <v>9</v>
      </c>
      <c r="W100">
        <v>34</v>
      </c>
      <c r="X100">
        <v>7</v>
      </c>
      <c r="Y100">
        <v>8</v>
      </c>
      <c r="Z100">
        <f t="shared" si="8"/>
        <v>1904</v>
      </c>
    </row>
    <row r="101" spans="22:26" x14ac:dyDescent="0.2">
      <c r="V101" t="s">
        <v>10</v>
      </c>
      <c r="W101">
        <v>35</v>
      </c>
      <c r="X101">
        <v>7</v>
      </c>
      <c r="Y101">
        <v>8</v>
      </c>
      <c r="Z101">
        <f t="shared" si="8"/>
        <v>1960</v>
      </c>
    </row>
    <row r="102" spans="22:26" x14ac:dyDescent="0.2">
      <c r="V102" t="s">
        <v>11</v>
      </c>
      <c r="W102">
        <v>36</v>
      </c>
      <c r="X102">
        <v>0</v>
      </c>
      <c r="Y102">
        <v>8</v>
      </c>
      <c r="Z102">
        <f t="shared" si="8"/>
        <v>0</v>
      </c>
    </row>
    <row r="103" spans="22:26" x14ac:dyDescent="0.2">
      <c r="V103" t="s">
        <v>27</v>
      </c>
      <c r="W103">
        <v>0</v>
      </c>
      <c r="X103">
        <v>0</v>
      </c>
      <c r="Y103">
        <v>0</v>
      </c>
      <c r="Z103">
        <v>0</v>
      </c>
    </row>
    <row r="104" spans="22:26" x14ac:dyDescent="0.2">
      <c r="V104" t="s">
        <v>28</v>
      </c>
      <c r="W104">
        <v>0</v>
      </c>
      <c r="X104">
        <v>0</v>
      </c>
      <c r="Y104">
        <v>0</v>
      </c>
      <c r="Z104">
        <v>0</v>
      </c>
    </row>
    <row r="105" spans="22:26" x14ac:dyDescent="0.2">
      <c r="V105" t="s">
        <v>29</v>
      </c>
      <c r="W105">
        <v>200</v>
      </c>
      <c r="X105">
        <v>0</v>
      </c>
      <c r="Y105">
        <v>20</v>
      </c>
      <c r="Z105">
        <f t="shared" ref="Z105:Z111" si="9">W105*X105*Y105</f>
        <v>0</v>
      </c>
    </row>
    <row r="106" spans="22:26" x14ac:dyDescent="0.2">
      <c r="V106" t="s">
        <v>30</v>
      </c>
      <c r="W106">
        <v>172</v>
      </c>
      <c r="X106">
        <v>0</v>
      </c>
      <c r="Y106">
        <v>5</v>
      </c>
      <c r="Z106">
        <f t="shared" si="9"/>
        <v>0</v>
      </c>
    </row>
    <row r="107" spans="22:26" x14ac:dyDescent="0.2">
      <c r="V107" t="s">
        <v>23</v>
      </c>
      <c r="W107">
        <v>1300</v>
      </c>
      <c r="X107">
        <v>0</v>
      </c>
      <c r="Y107">
        <v>20</v>
      </c>
      <c r="Z107">
        <f t="shared" si="9"/>
        <v>0</v>
      </c>
    </row>
    <row r="108" spans="22:26" x14ac:dyDescent="0.2">
      <c r="V108" t="s">
        <v>22</v>
      </c>
      <c r="W108">
        <v>650</v>
      </c>
      <c r="X108">
        <v>0</v>
      </c>
      <c r="Y108">
        <v>20</v>
      </c>
      <c r="Z108">
        <f t="shared" si="9"/>
        <v>0</v>
      </c>
    </row>
    <row r="109" spans="22:26" x14ac:dyDescent="0.2">
      <c r="V109" t="s">
        <v>31</v>
      </c>
      <c r="W109">
        <v>0</v>
      </c>
      <c r="X109">
        <v>0</v>
      </c>
      <c r="Y109">
        <v>0</v>
      </c>
      <c r="Z109">
        <f t="shared" si="9"/>
        <v>0</v>
      </c>
    </row>
    <row r="110" spans="22:26" x14ac:dyDescent="0.2">
      <c r="V110" t="s">
        <v>32</v>
      </c>
      <c r="W110">
        <v>4</v>
      </c>
      <c r="X110">
        <v>0</v>
      </c>
      <c r="Y110">
        <v>20</v>
      </c>
      <c r="Z110">
        <f t="shared" si="9"/>
        <v>0</v>
      </c>
    </row>
    <row r="111" spans="22:26" x14ac:dyDescent="0.2">
      <c r="V111" t="s">
        <v>21</v>
      </c>
      <c r="W111">
        <v>432</v>
      </c>
      <c r="X111">
        <v>0</v>
      </c>
      <c r="Y111">
        <v>1</v>
      </c>
      <c r="Z111">
        <f t="shared" si="9"/>
        <v>0</v>
      </c>
    </row>
    <row r="114" spans="22:26" x14ac:dyDescent="0.2">
      <c r="Y114" s="1" t="s">
        <v>34</v>
      </c>
      <c r="Z114">
        <f>SUM(Z83:Z112)</f>
        <v>35560</v>
      </c>
    </row>
    <row r="115" spans="22:26" x14ac:dyDescent="0.2">
      <c r="V115" t="s">
        <v>44</v>
      </c>
      <c r="Y115" s="2">
        <v>0.05</v>
      </c>
      <c r="Z115">
        <f>Z114*0.05</f>
        <v>1778</v>
      </c>
    </row>
    <row r="116" spans="22:26" x14ac:dyDescent="0.2">
      <c r="Z116">
        <f>Z114+Z115</f>
        <v>37338</v>
      </c>
    </row>
    <row r="119" spans="22:26" x14ac:dyDescent="0.2">
      <c r="V119" s="1" t="s">
        <v>35</v>
      </c>
    </row>
    <row r="120" spans="22:26" x14ac:dyDescent="0.2">
      <c r="V120" t="s">
        <v>0</v>
      </c>
      <c r="W120">
        <v>53</v>
      </c>
      <c r="X120">
        <v>0</v>
      </c>
      <c r="Y120">
        <v>8</v>
      </c>
      <c r="Z120">
        <f>W120*X120*Y120</f>
        <v>0</v>
      </c>
    </row>
    <row r="121" spans="22:26" x14ac:dyDescent="0.2">
      <c r="V121" t="s">
        <v>1</v>
      </c>
      <c r="W121">
        <v>51</v>
      </c>
      <c r="X121">
        <v>13</v>
      </c>
      <c r="Y121">
        <v>8</v>
      </c>
      <c r="Z121">
        <f>W121*X121*Y121</f>
        <v>5304</v>
      </c>
    </row>
    <row r="122" spans="22:26" x14ac:dyDescent="0.2">
      <c r="V122" t="s">
        <v>2</v>
      </c>
      <c r="W122">
        <v>52</v>
      </c>
      <c r="X122">
        <v>13</v>
      </c>
      <c r="Y122">
        <v>8</v>
      </c>
      <c r="Z122">
        <f>W122*X122*Y122</f>
        <v>5408</v>
      </c>
    </row>
    <row r="123" spans="22:26" x14ac:dyDescent="0.2">
      <c r="V123" t="s">
        <v>3</v>
      </c>
      <c r="W123">
        <v>34</v>
      </c>
      <c r="X123">
        <v>13</v>
      </c>
      <c r="Y123">
        <v>8</v>
      </c>
      <c r="Z123">
        <f t="shared" ref="Z123:Z139" si="10">W123*X123*Y123</f>
        <v>3536</v>
      </c>
    </row>
    <row r="124" spans="22:26" x14ac:dyDescent="0.2">
      <c r="V124" t="s">
        <v>4</v>
      </c>
      <c r="W124">
        <v>42</v>
      </c>
      <c r="X124">
        <v>13</v>
      </c>
      <c r="Y124">
        <v>8</v>
      </c>
      <c r="Z124">
        <f t="shared" si="10"/>
        <v>4368</v>
      </c>
    </row>
    <row r="125" spans="22:26" x14ac:dyDescent="0.2">
      <c r="V125" t="s">
        <v>5</v>
      </c>
      <c r="W125">
        <v>48</v>
      </c>
      <c r="X125">
        <v>13</v>
      </c>
      <c r="Y125">
        <v>8</v>
      </c>
      <c r="Z125">
        <f t="shared" si="10"/>
        <v>4992</v>
      </c>
    </row>
    <row r="126" spans="22:26" x14ac:dyDescent="0.2">
      <c r="V126" t="s">
        <v>6</v>
      </c>
      <c r="W126">
        <v>46</v>
      </c>
      <c r="X126">
        <v>13</v>
      </c>
      <c r="Y126">
        <v>8</v>
      </c>
      <c r="Z126">
        <f t="shared" si="10"/>
        <v>4784</v>
      </c>
    </row>
    <row r="127" spans="22:26" x14ac:dyDescent="0.2">
      <c r="V127" t="s">
        <v>12</v>
      </c>
      <c r="W127">
        <v>46</v>
      </c>
      <c r="X127">
        <v>13</v>
      </c>
      <c r="Y127">
        <v>8</v>
      </c>
      <c r="Z127">
        <f t="shared" si="10"/>
        <v>4784</v>
      </c>
    </row>
    <row r="128" spans="22:26" x14ac:dyDescent="0.2">
      <c r="V128" t="s">
        <v>14</v>
      </c>
      <c r="W128">
        <v>33</v>
      </c>
      <c r="X128">
        <v>13</v>
      </c>
      <c r="Y128">
        <v>8</v>
      </c>
      <c r="Z128">
        <f t="shared" si="10"/>
        <v>3432</v>
      </c>
    </row>
    <row r="129" spans="22:26" x14ac:dyDescent="0.2">
      <c r="V129" t="s">
        <v>13</v>
      </c>
      <c r="W129">
        <v>33</v>
      </c>
      <c r="X129">
        <v>13</v>
      </c>
      <c r="Y129">
        <v>8</v>
      </c>
      <c r="Z129">
        <f t="shared" si="10"/>
        <v>3432</v>
      </c>
    </row>
    <row r="130" spans="22:26" x14ac:dyDescent="0.2">
      <c r="V130" t="s">
        <v>15</v>
      </c>
      <c r="W130">
        <v>28</v>
      </c>
      <c r="X130">
        <v>13</v>
      </c>
      <c r="Y130">
        <v>8</v>
      </c>
      <c r="Z130">
        <f t="shared" si="10"/>
        <v>2912</v>
      </c>
    </row>
    <row r="131" spans="22:26" x14ac:dyDescent="0.2">
      <c r="V131" t="s">
        <v>7</v>
      </c>
      <c r="W131">
        <v>28</v>
      </c>
      <c r="X131">
        <v>13</v>
      </c>
      <c r="Y131">
        <v>8</v>
      </c>
      <c r="Z131">
        <f t="shared" si="10"/>
        <v>2912</v>
      </c>
    </row>
    <row r="132" spans="22:26" x14ac:dyDescent="0.2">
      <c r="V132" t="s">
        <v>19</v>
      </c>
      <c r="W132">
        <v>25</v>
      </c>
      <c r="X132">
        <v>13</v>
      </c>
      <c r="Y132">
        <v>8</v>
      </c>
      <c r="Z132">
        <f t="shared" si="10"/>
        <v>2600</v>
      </c>
    </row>
    <row r="133" spans="22:26" x14ac:dyDescent="0.2">
      <c r="V133" t="s">
        <v>18</v>
      </c>
      <c r="W133">
        <v>25</v>
      </c>
      <c r="X133">
        <v>13</v>
      </c>
      <c r="Y133">
        <v>8</v>
      </c>
      <c r="Z133">
        <f t="shared" si="10"/>
        <v>2600</v>
      </c>
    </row>
    <row r="134" spans="22:26" x14ac:dyDescent="0.2">
      <c r="V134" t="s">
        <v>17</v>
      </c>
      <c r="W134">
        <v>25</v>
      </c>
      <c r="X134">
        <v>13</v>
      </c>
      <c r="Y134">
        <v>8</v>
      </c>
      <c r="Z134">
        <f t="shared" si="10"/>
        <v>2600</v>
      </c>
    </row>
    <row r="135" spans="22:26" x14ac:dyDescent="0.2">
      <c r="V135" t="s">
        <v>16</v>
      </c>
      <c r="W135">
        <v>25</v>
      </c>
      <c r="X135">
        <v>13</v>
      </c>
      <c r="Y135">
        <v>8</v>
      </c>
      <c r="Z135">
        <f t="shared" si="10"/>
        <v>2600</v>
      </c>
    </row>
    <row r="136" spans="22:26" x14ac:dyDescent="0.2">
      <c r="V136" t="s">
        <v>8</v>
      </c>
      <c r="W136">
        <v>25</v>
      </c>
      <c r="X136">
        <v>13</v>
      </c>
      <c r="Y136">
        <v>8</v>
      </c>
      <c r="Z136">
        <f t="shared" si="10"/>
        <v>2600</v>
      </c>
    </row>
    <row r="137" spans="22:26" x14ac:dyDescent="0.2">
      <c r="V137" t="s">
        <v>9</v>
      </c>
      <c r="W137">
        <v>34</v>
      </c>
      <c r="X137">
        <v>13</v>
      </c>
      <c r="Y137">
        <v>8</v>
      </c>
      <c r="Z137">
        <f t="shared" si="10"/>
        <v>3536</v>
      </c>
    </row>
    <row r="138" spans="22:26" x14ac:dyDescent="0.2">
      <c r="V138" t="s">
        <v>10</v>
      </c>
      <c r="W138">
        <v>35</v>
      </c>
      <c r="X138">
        <v>13</v>
      </c>
      <c r="Y138">
        <v>8</v>
      </c>
      <c r="Z138">
        <f t="shared" si="10"/>
        <v>3640</v>
      </c>
    </row>
    <row r="139" spans="22:26" x14ac:dyDescent="0.2">
      <c r="V139" t="s">
        <v>11</v>
      </c>
      <c r="W139">
        <v>36</v>
      </c>
      <c r="X139">
        <v>0</v>
      </c>
      <c r="Y139">
        <v>8</v>
      </c>
      <c r="Z139">
        <f t="shared" si="10"/>
        <v>0</v>
      </c>
    </row>
    <row r="140" spans="22:26" x14ac:dyDescent="0.2">
      <c r="V140" t="s">
        <v>27</v>
      </c>
      <c r="W140">
        <v>0</v>
      </c>
      <c r="X140">
        <v>0</v>
      </c>
      <c r="Y140">
        <v>0</v>
      </c>
      <c r="Z140">
        <v>0</v>
      </c>
    </row>
    <row r="141" spans="22:26" x14ac:dyDescent="0.2">
      <c r="V141" t="s">
        <v>28</v>
      </c>
      <c r="W141">
        <v>0</v>
      </c>
      <c r="X141">
        <v>0</v>
      </c>
      <c r="Y141">
        <v>0</v>
      </c>
      <c r="Z141">
        <v>0</v>
      </c>
    </row>
    <row r="142" spans="22:26" x14ac:dyDescent="0.2">
      <c r="V142" t="s">
        <v>29</v>
      </c>
      <c r="W142">
        <v>200</v>
      </c>
      <c r="X142">
        <v>0</v>
      </c>
      <c r="Y142">
        <v>20</v>
      </c>
      <c r="Z142">
        <f t="shared" ref="Z142:Z148" si="11">W142*X142*Y142</f>
        <v>0</v>
      </c>
    </row>
    <row r="143" spans="22:26" x14ac:dyDescent="0.2">
      <c r="V143" t="s">
        <v>30</v>
      </c>
      <c r="W143">
        <v>172</v>
      </c>
      <c r="X143">
        <v>0</v>
      </c>
      <c r="Y143">
        <v>5</v>
      </c>
      <c r="Z143">
        <f t="shared" si="11"/>
        <v>0</v>
      </c>
    </row>
    <row r="144" spans="22:26" x14ac:dyDescent="0.2">
      <c r="V144" t="s">
        <v>23</v>
      </c>
      <c r="W144">
        <v>1300</v>
      </c>
      <c r="X144">
        <v>0</v>
      </c>
      <c r="Y144">
        <v>20</v>
      </c>
      <c r="Z144">
        <f t="shared" si="11"/>
        <v>0</v>
      </c>
    </row>
    <row r="145" spans="22:26" x14ac:dyDescent="0.2">
      <c r="V145" t="s">
        <v>22</v>
      </c>
      <c r="W145">
        <v>650</v>
      </c>
      <c r="X145">
        <v>0</v>
      </c>
      <c r="Y145">
        <v>20</v>
      </c>
      <c r="Z145">
        <f t="shared" si="11"/>
        <v>0</v>
      </c>
    </row>
    <row r="146" spans="22:26" x14ac:dyDescent="0.2">
      <c r="V146" t="s">
        <v>31</v>
      </c>
      <c r="W146">
        <v>0</v>
      </c>
      <c r="X146">
        <v>0</v>
      </c>
      <c r="Y146">
        <v>0</v>
      </c>
      <c r="Z146">
        <f t="shared" si="11"/>
        <v>0</v>
      </c>
    </row>
    <row r="147" spans="22:26" x14ac:dyDescent="0.2">
      <c r="V147" t="s">
        <v>32</v>
      </c>
      <c r="W147">
        <v>4</v>
      </c>
      <c r="X147">
        <v>0</v>
      </c>
      <c r="Y147">
        <v>20</v>
      </c>
      <c r="Z147">
        <f t="shared" si="11"/>
        <v>0</v>
      </c>
    </row>
    <row r="148" spans="22:26" x14ac:dyDescent="0.2">
      <c r="V148" t="s">
        <v>21</v>
      </c>
      <c r="W148">
        <v>432</v>
      </c>
      <c r="X148">
        <v>0</v>
      </c>
      <c r="Y148">
        <v>1</v>
      </c>
      <c r="Z148">
        <f t="shared" si="11"/>
        <v>0</v>
      </c>
    </row>
    <row r="151" spans="22:26" x14ac:dyDescent="0.2">
      <c r="Y151" s="1" t="s">
        <v>35</v>
      </c>
      <c r="Z151">
        <f>SUM(Z120:Z149)</f>
        <v>66040</v>
      </c>
    </row>
    <row r="152" spans="22:26" x14ac:dyDescent="0.2">
      <c r="V152" t="s">
        <v>44</v>
      </c>
      <c r="Y152" s="2">
        <v>0.05</v>
      </c>
      <c r="Z152">
        <f>Z151*0.05</f>
        <v>3302</v>
      </c>
    </row>
    <row r="153" spans="22:26" x14ac:dyDescent="0.2">
      <c r="Z153">
        <f>Z151+Z152</f>
        <v>69342</v>
      </c>
    </row>
    <row r="155" spans="22:26" x14ac:dyDescent="0.2">
      <c r="V155" s="1" t="s">
        <v>36</v>
      </c>
    </row>
    <row r="156" spans="22:26" x14ac:dyDescent="0.2">
      <c r="V156" t="s">
        <v>0</v>
      </c>
      <c r="W156">
        <v>53</v>
      </c>
      <c r="X156">
        <v>0</v>
      </c>
      <c r="Y156">
        <v>8</v>
      </c>
      <c r="Z156">
        <f>W156*X156*Y156</f>
        <v>0</v>
      </c>
    </row>
    <row r="157" spans="22:26" x14ac:dyDescent="0.2">
      <c r="V157" t="s">
        <v>1</v>
      </c>
      <c r="W157">
        <v>51</v>
      </c>
      <c r="X157">
        <v>9</v>
      </c>
      <c r="Y157">
        <v>8</v>
      </c>
      <c r="Z157">
        <f>W157*X157*Y157</f>
        <v>3672</v>
      </c>
    </row>
    <row r="158" spans="22:26" x14ac:dyDescent="0.2">
      <c r="V158" t="s">
        <v>2</v>
      </c>
      <c r="W158">
        <v>52</v>
      </c>
      <c r="X158">
        <v>9</v>
      </c>
      <c r="Y158">
        <v>8</v>
      </c>
      <c r="Z158">
        <f>W158*X158*Y158</f>
        <v>3744</v>
      </c>
    </row>
    <row r="159" spans="22:26" x14ac:dyDescent="0.2">
      <c r="V159" t="s">
        <v>3</v>
      </c>
      <c r="W159">
        <v>34</v>
      </c>
      <c r="X159">
        <v>9</v>
      </c>
      <c r="Y159">
        <v>8</v>
      </c>
      <c r="Z159">
        <f t="shared" ref="Z159:Z175" si="12">W159*X159*Y159</f>
        <v>2448</v>
      </c>
    </row>
    <row r="160" spans="22:26" x14ac:dyDescent="0.2">
      <c r="V160" t="s">
        <v>4</v>
      </c>
      <c r="W160">
        <v>42</v>
      </c>
      <c r="X160">
        <v>9</v>
      </c>
      <c r="Y160">
        <v>8</v>
      </c>
      <c r="Z160">
        <f t="shared" si="12"/>
        <v>3024</v>
      </c>
    </row>
    <row r="161" spans="22:26" x14ac:dyDescent="0.2">
      <c r="V161" t="s">
        <v>5</v>
      </c>
      <c r="W161">
        <v>48</v>
      </c>
      <c r="X161">
        <v>9</v>
      </c>
      <c r="Y161">
        <v>8</v>
      </c>
      <c r="Z161">
        <f t="shared" si="12"/>
        <v>3456</v>
      </c>
    </row>
    <row r="162" spans="22:26" x14ac:dyDescent="0.2">
      <c r="V162" t="s">
        <v>6</v>
      </c>
      <c r="W162">
        <v>46</v>
      </c>
      <c r="X162">
        <v>9</v>
      </c>
      <c r="Y162">
        <v>8</v>
      </c>
      <c r="Z162">
        <f t="shared" si="12"/>
        <v>3312</v>
      </c>
    </row>
    <row r="163" spans="22:26" x14ac:dyDescent="0.2">
      <c r="V163" t="s">
        <v>12</v>
      </c>
      <c r="W163">
        <v>46</v>
      </c>
      <c r="X163">
        <v>9</v>
      </c>
      <c r="Y163">
        <v>8</v>
      </c>
      <c r="Z163">
        <f t="shared" si="12"/>
        <v>3312</v>
      </c>
    </row>
    <row r="164" spans="22:26" x14ac:dyDescent="0.2">
      <c r="V164" t="s">
        <v>14</v>
      </c>
      <c r="W164">
        <v>33</v>
      </c>
      <c r="X164">
        <v>9</v>
      </c>
      <c r="Y164">
        <v>8</v>
      </c>
      <c r="Z164">
        <f t="shared" si="12"/>
        <v>2376</v>
      </c>
    </row>
    <row r="165" spans="22:26" x14ac:dyDescent="0.2">
      <c r="V165" t="s">
        <v>13</v>
      </c>
      <c r="W165">
        <v>33</v>
      </c>
      <c r="X165">
        <v>9</v>
      </c>
      <c r="Y165">
        <v>8</v>
      </c>
      <c r="Z165">
        <f t="shared" si="12"/>
        <v>2376</v>
      </c>
    </row>
    <row r="166" spans="22:26" x14ac:dyDescent="0.2">
      <c r="V166" t="s">
        <v>15</v>
      </c>
      <c r="W166">
        <v>28</v>
      </c>
      <c r="X166">
        <v>9</v>
      </c>
      <c r="Y166">
        <v>8</v>
      </c>
      <c r="Z166">
        <f t="shared" si="12"/>
        <v>2016</v>
      </c>
    </row>
    <row r="167" spans="22:26" x14ac:dyDescent="0.2">
      <c r="V167" t="s">
        <v>7</v>
      </c>
      <c r="W167">
        <v>28</v>
      </c>
      <c r="X167">
        <v>9</v>
      </c>
      <c r="Y167">
        <v>8</v>
      </c>
      <c r="Z167">
        <f t="shared" si="12"/>
        <v>2016</v>
      </c>
    </row>
    <row r="168" spans="22:26" x14ac:dyDescent="0.2">
      <c r="V168" t="s">
        <v>19</v>
      </c>
      <c r="W168">
        <v>25</v>
      </c>
      <c r="X168">
        <v>9</v>
      </c>
      <c r="Y168">
        <v>8</v>
      </c>
      <c r="Z168">
        <f t="shared" si="12"/>
        <v>1800</v>
      </c>
    </row>
    <row r="169" spans="22:26" x14ac:dyDescent="0.2">
      <c r="V169" t="s">
        <v>18</v>
      </c>
      <c r="W169">
        <v>25</v>
      </c>
      <c r="X169">
        <v>9</v>
      </c>
      <c r="Y169">
        <v>8</v>
      </c>
      <c r="Z169">
        <f t="shared" si="12"/>
        <v>1800</v>
      </c>
    </row>
    <row r="170" spans="22:26" x14ac:dyDescent="0.2">
      <c r="V170" t="s">
        <v>17</v>
      </c>
      <c r="W170">
        <v>25</v>
      </c>
      <c r="X170">
        <v>9</v>
      </c>
      <c r="Y170">
        <v>8</v>
      </c>
      <c r="Z170">
        <f t="shared" si="12"/>
        <v>1800</v>
      </c>
    </row>
    <row r="171" spans="22:26" x14ac:dyDescent="0.2">
      <c r="V171" t="s">
        <v>16</v>
      </c>
      <c r="W171">
        <v>25</v>
      </c>
      <c r="X171">
        <v>9</v>
      </c>
      <c r="Y171">
        <v>8</v>
      </c>
      <c r="Z171">
        <f t="shared" si="12"/>
        <v>1800</v>
      </c>
    </row>
    <row r="172" spans="22:26" x14ac:dyDescent="0.2">
      <c r="V172" t="s">
        <v>8</v>
      </c>
      <c r="W172">
        <v>25</v>
      </c>
      <c r="X172">
        <v>9</v>
      </c>
      <c r="Y172">
        <v>8</v>
      </c>
      <c r="Z172">
        <f t="shared" si="12"/>
        <v>1800</v>
      </c>
    </row>
    <row r="173" spans="22:26" x14ac:dyDescent="0.2">
      <c r="V173" t="s">
        <v>9</v>
      </c>
      <c r="W173">
        <v>34</v>
      </c>
      <c r="X173">
        <v>9</v>
      </c>
      <c r="Y173">
        <v>8</v>
      </c>
      <c r="Z173">
        <f t="shared" si="12"/>
        <v>2448</v>
      </c>
    </row>
    <row r="174" spans="22:26" x14ac:dyDescent="0.2">
      <c r="V174" t="s">
        <v>10</v>
      </c>
      <c r="W174">
        <v>35</v>
      </c>
      <c r="X174">
        <v>9</v>
      </c>
      <c r="Y174">
        <v>8</v>
      </c>
      <c r="Z174">
        <f t="shared" si="12"/>
        <v>2520</v>
      </c>
    </row>
    <row r="175" spans="22:26" x14ac:dyDescent="0.2">
      <c r="V175" t="s">
        <v>11</v>
      </c>
      <c r="W175">
        <v>36</v>
      </c>
      <c r="X175">
        <v>0</v>
      </c>
      <c r="Y175">
        <v>8</v>
      </c>
      <c r="Z175">
        <f t="shared" si="12"/>
        <v>0</v>
      </c>
    </row>
    <row r="176" spans="22:26" x14ac:dyDescent="0.2">
      <c r="V176" t="s">
        <v>27</v>
      </c>
      <c r="W176">
        <v>0</v>
      </c>
      <c r="X176">
        <v>0</v>
      </c>
      <c r="Y176">
        <v>0</v>
      </c>
      <c r="Z176">
        <v>0</v>
      </c>
    </row>
    <row r="177" spans="22:26" x14ac:dyDescent="0.2">
      <c r="V177" t="s">
        <v>28</v>
      </c>
      <c r="W177">
        <v>0</v>
      </c>
      <c r="X177">
        <v>0</v>
      </c>
      <c r="Y177">
        <v>0</v>
      </c>
      <c r="Z177">
        <v>0</v>
      </c>
    </row>
    <row r="178" spans="22:26" x14ac:dyDescent="0.2">
      <c r="V178" t="s">
        <v>29</v>
      </c>
      <c r="W178">
        <v>200</v>
      </c>
      <c r="X178">
        <v>0</v>
      </c>
      <c r="Y178">
        <v>20</v>
      </c>
      <c r="Z178">
        <f t="shared" ref="Z178:Z184" si="13">W178*X178*Y178</f>
        <v>0</v>
      </c>
    </row>
    <row r="179" spans="22:26" x14ac:dyDescent="0.2">
      <c r="V179" t="s">
        <v>30</v>
      </c>
      <c r="W179">
        <v>172</v>
      </c>
      <c r="X179">
        <v>0</v>
      </c>
      <c r="Y179">
        <v>5</v>
      </c>
      <c r="Z179">
        <f t="shared" si="13"/>
        <v>0</v>
      </c>
    </row>
    <row r="180" spans="22:26" x14ac:dyDescent="0.2">
      <c r="V180" t="s">
        <v>23</v>
      </c>
      <c r="W180">
        <v>1300</v>
      </c>
      <c r="X180">
        <v>0</v>
      </c>
      <c r="Y180">
        <v>20</v>
      </c>
      <c r="Z180">
        <f t="shared" si="13"/>
        <v>0</v>
      </c>
    </row>
    <row r="181" spans="22:26" x14ac:dyDescent="0.2">
      <c r="V181" t="s">
        <v>22</v>
      </c>
      <c r="W181">
        <v>650</v>
      </c>
      <c r="X181">
        <v>0</v>
      </c>
      <c r="Y181">
        <v>20</v>
      </c>
      <c r="Z181">
        <f t="shared" si="13"/>
        <v>0</v>
      </c>
    </row>
    <row r="182" spans="22:26" x14ac:dyDescent="0.2">
      <c r="V182" t="s">
        <v>31</v>
      </c>
      <c r="W182">
        <v>0</v>
      </c>
      <c r="X182">
        <v>0</v>
      </c>
      <c r="Y182">
        <v>0</v>
      </c>
      <c r="Z182">
        <f t="shared" si="13"/>
        <v>0</v>
      </c>
    </row>
    <row r="183" spans="22:26" x14ac:dyDescent="0.2">
      <c r="V183" t="s">
        <v>32</v>
      </c>
      <c r="W183">
        <v>4</v>
      </c>
      <c r="X183">
        <v>0</v>
      </c>
      <c r="Y183">
        <v>20</v>
      </c>
      <c r="Z183">
        <f t="shared" si="13"/>
        <v>0</v>
      </c>
    </row>
    <row r="184" spans="22:26" x14ac:dyDescent="0.2">
      <c r="V184" t="s">
        <v>21</v>
      </c>
      <c r="W184">
        <v>432</v>
      </c>
      <c r="X184">
        <v>0</v>
      </c>
      <c r="Y184">
        <v>1</v>
      </c>
      <c r="Z184">
        <f t="shared" si="13"/>
        <v>0</v>
      </c>
    </row>
    <row r="187" spans="22:26" x14ac:dyDescent="0.2">
      <c r="Y187" s="1" t="s">
        <v>36</v>
      </c>
      <c r="Z187">
        <f>SUM(Z156:Z185)</f>
        <v>45720</v>
      </c>
    </row>
    <row r="188" spans="22:26" x14ac:dyDescent="0.2">
      <c r="V188" t="s">
        <v>44</v>
      </c>
      <c r="Y188" s="2">
        <v>0.05</v>
      </c>
      <c r="Z188">
        <f>Z187*0.05</f>
        <v>2286</v>
      </c>
    </row>
    <row r="189" spans="22:26" x14ac:dyDescent="0.2">
      <c r="Z189">
        <f>Z187+Z188</f>
        <v>48006</v>
      </c>
    </row>
    <row r="192" spans="22:26" x14ac:dyDescent="0.2">
      <c r="V192" s="1" t="s">
        <v>37</v>
      </c>
    </row>
    <row r="193" spans="22:26" x14ac:dyDescent="0.2">
      <c r="V193" t="s">
        <v>0</v>
      </c>
      <c r="W193">
        <v>53</v>
      </c>
      <c r="X193">
        <v>0</v>
      </c>
      <c r="Y193">
        <v>8</v>
      </c>
      <c r="Z193">
        <f>W193*X193*Y193</f>
        <v>0</v>
      </c>
    </row>
    <row r="194" spans="22:26" x14ac:dyDescent="0.2">
      <c r="V194" t="s">
        <v>1</v>
      </c>
      <c r="W194">
        <v>51</v>
      </c>
      <c r="X194">
        <v>13</v>
      </c>
      <c r="Y194">
        <v>8</v>
      </c>
      <c r="Z194">
        <f>W194*X194*Y194</f>
        <v>5304</v>
      </c>
    </row>
    <row r="195" spans="22:26" x14ac:dyDescent="0.2">
      <c r="V195" t="s">
        <v>2</v>
      </c>
      <c r="W195">
        <v>52</v>
      </c>
      <c r="X195">
        <v>13</v>
      </c>
      <c r="Y195">
        <v>8</v>
      </c>
      <c r="Z195">
        <f>W195*X195*Y195</f>
        <v>5408</v>
      </c>
    </row>
    <row r="196" spans="22:26" x14ac:dyDescent="0.2">
      <c r="V196" t="s">
        <v>3</v>
      </c>
      <c r="W196">
        <v>34</v>
      </c>
      <c r="X196">
        <v>13</v>
      </c>
      <c r="Y196">
        <v>8</v>
      </c>
      <c r="Z196">
        <f t="shared" ref="Z196:Z212" si="14">W196*X196*Y196</f>
        <v>3536</v>
      </c>
    </row>
    <row r="197" spans="22:26" x14ac:dyDescent="0.2">
      <c r="V197" t="s">
        <v>4</v>
      </c>
      <c r="W197">
        <v>42</v>
      </c>
      <c r="X197">
        <v>13</v>
      </c>
      <c r="Y197">
        <v>8</v>
      </c>
      <c r="Z197">
        <f t="shared" si="14"/>
        <v>4368</v>
      </c>
    </row>
    <row r="198" spans="22:26" x14ac:dyDescent="0.2">
      <c r="V198" t="s">
        <v>5</v>
      </c>
      <c r="W198">
        <v>48</v>
      </c>
      <c r="X198">
        <v>13</v>
      </c>
      <c r="Y198">
        <v>8</v>
      </c>
      <c r="Z198">
        <f t="shared" si="14"/>
        <v>4992</v>
      </c>
    </row>
    <row r="199" spans="22:26" x14ac:dyDescent="0.2">
      <c r="V199" t="s">
        <v>6</v>
      </c>
      <c r="W199">
        <v>46</v>
      </c>
      <c r="X199">
        <v>13</v>
      </c>
      <c r="Y199">
        <v>8</v>
      </c>
      <c r="Z199">
        <f t="shared" si="14"/>
        <v>4784</v>
      </c>
    </row>
    <row r="200" spans="22:26" x14ac:dyDescent="0.2">
      <c r="V200" t="s">
        <v>12</v>
      </c>
      <c r="W200">
        <v>46</v>
      </c>
      <c r="X200">
        <v>13</v>
      </c>
      <c r="Y200">
        <v>8</v>
      </c>
      <c r="Z200">
        <f t="shared" si="14"/>
        <v>4784</v>
      </c>
    </row>
    <row r="201" spans="22:26" x14ac:dyDescent="0.2">
      <c r="V201" t="s">
        <v>14</v>
      </c>
      <c r="W201">
        <v>33</v>
      </c>
      <c r="X201">
        <v>13</v>
      </c>
      <c r="Y201">
        <v>8</v>
      </c>
      <c r="Z201">
        <f t="shared" si="14"/>
        <v>3432</v>
      </c>
    </row>
    <row r="202" spans="22:26" x14ac:dyDescent="0.2">
      <c r="V202" t="s">
        <v>13</v>
      </c>
      <c r="W202">
        <v>33</v>
      </c>
      <c r="X202">
        <v>13</v>
      </c>
      <c r="Y202">
        <v>8</v>
      </c>
      <c r="Z202">
        <f t="shared" si="14"/>
        <v>3432</v>
      </c>
    </row>
    <row r="203" spans="22:26" x14ac:dyDescent="0.2">
      <c r="V203" t="s">
        <v>15</v>
      </c>
      <c r="W203">
        <v>28</v>
      </c>
      <c r="X203">
        <v>13</v>
      </c>
      <c r="Y203">
        <v>8</v>
      </c>
      <c r="Z203">
        <f t="shared" si="14"/>
        <v>2912</v>
      </c>
    </row>
    <row r="204" spans="22:26" x14ac:dyDescent="0.2">
      <c r="V204" t="s">
        <v>7</v>
      </c>
      <c r="W204">
        <v>28</v>
      </c>
      <c r="X204">
        <v>13</v>
      </c>
      <c r="Y204">
        <v>8</v>
      </c>
      <c r="Z204">
        <f t="shared" si="14"/>
        <v>2912</v>
      </c>
    </row>
    <row r="205" spans="22:26" x14ac:dyDescent="0.2">
      <c r="V205" t="s">
        <v>19</v>
      </c>
      <c r="W205">
        <v>25</v>
      </c>
      <c r="X205">
        <v>13</v>
      </c>
      <c r="Y205">
        <v>8</v>
      </c>
      <c r="Z205">
        <f t="shared" si="14"/>
        <v>2600</v>
      </c>
    </row>
    <row r="206" spans="22:26" x14ac:dyDescent="0.2">
      <c r="V206" t="s">
        <v>18</v>
      </c>
      <c r="W206">
        <v>25</v>
      </c>
      <c r="X206">
        <v>13</v>
      </c>
      <c r="Y206">
        <v>8</v>
      </c>
      <c r="Z206">
        <f t="shared" si="14"/>
        <v>2600</v>
      </c>
    </row>
    <row r="207" spans="22:26" x14ac:dyDescent="0.2">
      <c r="V207" t="s">
        <v>17</v>
      </c>
      <c r="W207">
        <v>25</v>
      </c>
      <c r="X207">
        <v>13</v>
      </c>
      <c r="Y207">
        <v>8</v>
      </c>
      <c r="Z207">
        <f t="shared" si="14"/>
        <v>2600</v>
      </c>
    </row>
    <row r="208" spans="22:26" x14ac:dyDescent="0.2">
      <c r="V208" t="s">
        <v>16</v>
      </c>
      <c r="W208">
        <v>25</v>
      </c>
      <c r="X208">
        <v>13</v>
      </c>
      <c r="Y208">
        <v>8</v>
      </c>
      <c r="Z208">
        <f t="shared" si="14"/>
        <v>2600</v>
      </c>
    </row>
    <row r="209" spans="22:26" x14ac:dyDescent="0.2">
      <c r="V209" t="s">
        <v>8</v>
      </c>
      <c r="W209">
        <v>25</v>
      </c>
      <c r="X209">
        <v>13</v>
      </c>
      <c r="Y209">
        <v>8</v>
      </c>
      <c r="Z209">
        <f t="shared" si="14"/>
        <v>2600</v>
      </c>
    </row>
    <row r="210" spans="22:26" x14ac:dyDescent="0.2">
      <c r="V210" t="s">
        <v>9</v>
      </c>
      <c r="W210">
        <v>34</v>
      </c>
      <c r="X210">
        <v>13</v>
      </c>
      <c r="Y210">
        <v>8</v>
      </c>
      <c r="Z210">
        <f t="shared" si="14"/>
        <v>3536</v>
      </c>
    </row>
    <row r="211" spans="22:26" x14ac:dyDescent="0.2">
      <c r="V211" t="s">
        <v>10</v>
      </c>
      <c r="W211">
        <v>35</v>
      </c>
      <c r="X211">
        <v>13</v>
      </c>
      <c r="Y211">
        <v>8</v>
      </c>
      <c r="Z211">
        <f t="shared" si="14"/>
        <v>3640</v>
      </c>
    </row>
    <row r="212" spans="22:26" x14ac:dyDescent="0.2">
      <c r="V212" t="s">
        <v>11</v>
      </c>
      <c r="W212">
        <v>36</v>
      </c>
      <c r="X212">
        <v>3</v>
      </c>
      <c r="Y212">
        <v>8</v>
      </c>
      <c r="Z212">
        <f t="shared" si="14"/>
        <v>864</v>
      </c>
    </row>
    <row r="213" spans="22:26" x14ac:dyDescent="0.2">
      <c r="V213" t="s">
        <v>27</v>
      </c>
      <c r="W213">
        <v>0</v>
      </c>
      <c r="X213">
        <v>0</v>
      </c>
      <c r="Y213">
        <v>0</v>
      </c>
      <c r="Z213">
        <v>0</v>
      </c>
    </row>
    <row r="214" spans="22:26" x14ac:dyDescent="0.2">
      <c r="V214" t="s">
        <v>28</v>
      </c>
      <c r="W214">
        <v>0</v>
      </c>
      <c r="X214">
        <v>0</v>
      </c>
      <c r="Y214">
        <v>0</v>
      </c>
      <c r="Z214">
        <v>0</v>
      </c>
    </row>
    <row r="215" spans="22:26" x14ac:dyDescent="0.2">
      <c r="V215" t="s">
        <v>29</v>
      </c>
      <c r="W215">
        <v>200</v>
      </c>
      <c r="X215">
        <v>0</v>
      </c>
      <c r="Y215">
        <v>20</v>
      </c>
      <c r="Z215">
        <f t="shared" ref="Z215:Z221" si="15">W215*X215*Y215</f>
        <v>0</v>
      </c>
    </row>
    <row r="216" spans="22:26" x14ac:dyDescent="0.2">
      <c r="V216" t="s">
        <v>30</v>
      </c>
      <c r="W216">
        <v>172</v>
      </c>
      <c r="X216">
        <v>0</v>
      </c>
      <c r="Y216">
        <v>5</v>
      </c>
      <c r="Z216">
        <f t="shared" si="15"/>
        <v>0</v>
      </c>
    </row>
    <row r="217" spans="22:26" x14ac:dyDescent="0.2">
      <c r="V217" t="s">
        <v>23</v>
      </c>
      <c r="W217">
        <v>1300</v>
      </c>
      <c r="X217">
        <v>0</v>
      </c>
      <c r="Y217">
        <v>20</v>
      </c>
      <c r="Z217">
        <f t="shared" si="15"/>
        <v>0</v>
      </c>
    </row>
    <row r="218" spans="22:26" x14ac:dyDescent="0.2">
      <c r="V218" t="s">
        <v>22</v>
      </c>
      <c r="W218">
        <v>650</v>
      </c>
      <c r="X218">
        <v>0</v>
      </c>
      <c r="Y218">
        <v>20</v>
      </c>
      <c r="Z218">
        <f t="shared" si="15"/>
        <v>0</v>
      </c>
    </row>
    <row r="219" spans="22:26" x14ac:dyDescent="0.2">
      <c r="V219" t="s">
        <v>31</v>
      </c>
      <c r="W219">
        <v>0</v>
      </c>
      <c r="X219">
        <v>0</v>
      </c>
      <c r="Y219">
        <v>0</v>
      </c>
      <c r="Z219">
        <f t="shared" si="15"/>
        <v>0</v>
      </c>
    </row>
    <row r="220" spans="22:26" x14ac:dyDescent="0.2">
      <c r="V220" t="s">
        <v>32</v>
      </c>
      <c r="W220">
        <v>4</v>
      </c>
      <c r="X220">
        <v>0</v>
      </c>
      <c r="Y220">
        <v>20</v>
      </c>
      <c r="Z220">
        <f t="shared" si="15"/>
        <v>0</v>
      </c>
    </row>
    <row r="221" spans="22:26" x14ac:dyDescent="0.2">
      <c r="V221" t="s">
        <v>21</v>
      </c>
      <c r="W221">
        <v>432</v>
      </c>
      <c r="X221">
        <v>0</v>
      </c>
      <c r="Y221">
        <v>1</v>
      </c>
      <c r="Z221">
        <f t="shared" si="15"/>
        <v>0</v>
      </c>
    </row>
    <row r="224" spans="22:26" x14ac:dyDescent="0.2">
      <c r="Y224" s="1" t="s">
        <v>37</v>
      </c>
      <c r="Z224">
        <f>SUM(Z193:Z222)</f>
        <v>66904</v>
      </c>
    </row>
    <row r="225" spans="22:26" x14ac:dyDescent="0.2">
      <c r="V225" t="s">
        <v>44</v>
      </c>
      <c r="Y225" s="2">
        <v>0.05</v>
      </c>
      <c r="Z225">
        <f>Z224*0.05</f>
        <v>3345.2000000000003</v>
      </c>
    </row>
    <row r="226" spans="22:26" x14ac:dyDescent="0.2">
      <c r="Z226">
        <f>Z224+Z225</f>
        <v>70249.2</v>
      </c>
    </row>
    <row r="229" spans="22:26" x14ac:dyDescent="0.2">
      <c r="V229" s="1" t="s">
        <v>38</v>
      </c>
    </row>
    <row r="230" spans="22:26" x14ac:dyDescent="0.2">
      <c r="V230" t="s">
        <v>0</v>
      </c>
      <c r="W230">
        <v>53</v>
      </c>
      <c r="X230">
        <v>0</v>
      </c>
      <c r="Y230">
        <v>8</v>
      </c>
      <c r="Z230">
        <f>W230*X230*Y230</f>
        <v>0</v>
      </c>
    </row>
    <row r="231" spans="22:26" x14ac:dyDescent="0.2">
      <c r="V231" t="s">
        <v>1</v>
      </c>
      <c r="W231">
        <v>51</v>
      </c>
      <c r="X231">
        <v>6</v>
      </c>
      <c r="Y231">
        <v>8</v>
      </c>
      <c r="Z231">
        <f>W231*X231*Y231</f>
        <v>2448</v>
      </c>
    </row>
    <row r="232" spans="22:26" x14ac:dyDescent="0.2">
      <c r="V232" t="s">
        <v>2</v>
      </c>
      <c r="W232">
        <v>52</v>
      </c>
      <c r="X232">
        <v>6</v>
      </c>
      <c r="Y232">
        <v>8</v>
      </c>
      <c r="Z232">
        <f>W232*X232*Y232</f>
        <v>2496</v>
      </c>
    </row>
    <row r="233" spans="22:26" x14ac:dyDescent="0.2">
      <c r="V233" t="s">
        <v>3</v>
      </c>
      <c r="W233">
        <v>34</v>
      </c>
      <c r="X233">
        <v>6</v>
      </c>
      <c r="Y233">
        <v>8</v>
      </c>
      <c r="Z233">
        <f t="shared" ref="Z233:Z249" si="16">W233*X233*Y233</f>
        <v>1632</v>
      </c>
    </row>
    <row r="234" spans="22:26" x14ac:dyDescent="0.2">
      <c r="V234" t="s">
        <v>4</v>
      </c>
      <c r="W234">
        <v>42</v>
      </c>
      <c r="X234">
        <v>6</v>
      </c>
      <c r="Y234">
        <v>8</v>
      </c>
      <c r="Z234">
        <f t="shared" si="16"/>
        <v>2016</v>
      </c>
    </row>
    <row r="235" spans="22:26" x14ac:dyDescent="0.2">
      <c r="V235" t="s">
        <v>5</v>
      </c>
      <c r="W235">
        <v>48</v>
      </c>
      <c r="X235">
        <v>6</v>
      </c>
      <c r="Y235">
        <v>8</v>
      </c>
      <c r="Z235">
        <f t="shared" si="16"/>
        <v>2304</v>
      </c>
    </row>
    <row r="236" spans="22:26" x14ac:dyDescent="0.2">
      <c r="V236" t="s">
        <v>6</v>
      </c>
      <c r="W236">
        <v>46</v>
      </c>
      <c r="X236">
        <v>6</v>
      </c>
      <c r="Y236">
        <v>8</v>
      </c>
      <c r="Z236">
        <f t="shared" si="16"/>
        <v>2208</v>
      </c>
    </row>
    <row r="237" spans="22:26" x14ac:dyDescent="0.2">
      <c r="V237" t="s">
        <v>12</v>
      </c>
      <c r="W237">
        <v>46</v>
      </c>
      <c r="X237">
        <v>6</v>
      </c>
      <c r="Y237">
        <v>8</v>
      </c>
      <c r="Z237">
        <f t="shared" si="16"/>
        <v>2208</v>
      </c>
    </row>
    <row r="238" spans="22:26" x14ac:dyDescent="0.2">
      <c r="V238" t="s">
        <v>14</v>
      </c>
      <c r="W238">
        <v>33</v>
      </c>
      <c r="X238">
        <v>6</v>
      </c>
      <c r="Y238">
        <v>8</v>
      </c>
      <c r="Z238">
        <f t="shared" si="16"/>
        <v>1584</v>
      </c>
    </row>
    <row r="239" spans="22:26" x14ac:dyDescent="0.2">
      <c r="V239" t="s">
        <v>13</v>
      </c>
      <c r="W239">
        <v>33</v>
      </c>
      <c r="X239">
        <v>6</v>
      </c>
      <c r="Y239">
        <v>8</v>
      </c>
      <c r="Z239">
        <f t="shared" si="16"/>
        <v>1584</v>
      </c>
    </row>
    <row r="240" spans="22:26" x14ac:dyDescent="0.2">
      <c r="V240" t="s">
        <v>15</v>
      </c>
      <c r="W240">
        <v>28</v>
      </c>
      <c r="X240">
        <v>6</v>
      </c>
      <c r="Y240">
        <v>8</v>
      </c>
      <c r="Z240">
        <f t="shared" si="16"/>
        <v>1344</v>
      </c>
    </row>
    <row r="241" spans="22:26" x14ac:dyDescent="0.2">
      <c r="V241" t="s">
        <v>7</v>
      </c>
      <c r="W241">
        <v>28</v>
      </c>
      <c r="X241">
        <v>6</v>
      </c>
      <c r="Y241">
        <v>8</v>
      </c>
      <c r="Z241">
        <f t="shared" si="16"/>
        <v>1344</v>
      </c>
    </row>
    <row r="242" spans="22:26" x14ac:dyDescent="0.2">
      <c r="V242" t="s">
        <v>19</v>
      </c>
      <c r="W242">
        <v>25</v>
      </c>
      <c r="X242">
        <v>6</v>
      </c>
      <c r="Y242">
        <v>8</v>
      </c>
      <c r="Z242">
        <f t="shared" si="16"/>
        <v>1200</v>
      </c>
    </row>
    <row r="243" spans="22:26" x14ac:dyDescent="0.2">
      <c r="V243" t="s">
        <v>18</v>
      </c>
      <c r="W243">
        <v>25</v>
      </c>
      <c r="X243">
        <v>6</v>
      </c>
      <c r="Y243">
        <v>8</v>
      </c>
      <c r="Z243">
        <f t="shared" si="16"/>
        <v>1200</v>
      </c>
    </row>
    <row r="244" spans="22:26" x14ac:dyDescent="0.2">
      <c r="V244" t="s">
        <v>17</v>
      </c>
      <c r="W244">
        <v>25</v>
      </c>
      <c r="X244">
        <v>6</v>
      </c>
      <c r="Y244">
        <v>8</v>
      </c>
      <c r="Z244">
        <f t="shared" si="16"/>
        <v>1200</v>
      </c>
    </row>
    <row r="245" spans="22:26" x14ac:dyDescent="0.2">
      <c r="V245" t="s">
        <v>16</v>
      </c>
      <c r="W245">
        <v>25</v>
      </c>
      <c r="X245">
        <v>6</v>
      </c>
      <c r="Y245">
        <v>8</v>
      </c>
      <c r="Z245">
        <f t="shared" si="16"/>
        <v>1200</v>
      </c>
    </row>
    <row r="246" spans="22:26" x14ac:dyDescent="0.2">
      <c r="V246" t="s">
        <v>8</v>
      </c>
      <c r="W246">
        <v>25</v>
      </c>
      <c r="X246">
        <v>6</v>
      </c>
      <c r="Y246">
        <v>8</v>
      </c>
      <c r="Z246">
        <f t="shared" si="16"/>
        <v>1200</v>
      </c>
    </row>
    <row r="247" spans="22:26" x14ac:dyDescent="0.2">
      <c r="V247" t="s">
        <v>9</v>
      </c>
      <c r="W247">
        <v>34</v>
      </c>
      <c r="X247">
        <v>6</v>
      </c>
      <c r="Y247">
        <v>8</v>
      </c>
      <c r="Z247">
        <f t="shared" si="16"/>
        <v>1632</v>
      </c>
    </row>
    <row r="248" spans="22:26" x14ac:dyDescent="0.2">
      <c r="V248" t="s">
        <v>10</v>
      </c>
      <c r="W248">
        <v>35</v>
      </c>
      <c r="X248">
        <v>6</v>
      </c>
      <c r="Y248">
        <v>8</v>
      </c>
      <c r="Z248">
        <f t="shared" si="16"/>
        <v>1680</v>
      </c>
    </row>
    <row r="249" spans="22:26" x14ac:dyDescent="0.2">
      <c r="V249" t="s">
        <v>11</v>
      </c>
      <c r="W249">
        <v>36</v>
      </c>
      <c r="X249">
        <v>0</v>
      </c>
      <c r="Y249">
        <v>8</v>
      </c>
      <c r="Z249">
        <f t="shared" si="16"/>
        <v>0</v>
      </c>
    </row>
    <row r="250" spans="22:26" x14ac:dyDescent="0.2">
      <c r="V250" t="s">
        <v>27</v>
      </c>
      <c r="W250">
        <v>0</v>
      </c>
      <c r="X250">
        <v>0</v>
      </c>
      <c r="Y250">
        <v>0</v>
      </c>
      <c r="Z250">
        <v>0</v>
      </c>
    </row>
    <row r="251" spans="22:26" x14ac:dyDescent="0.2">
      <c r="V251" t="s">
        <v>28</v>
      </c>
      <c r="W251">
        <v>0</v>
      </c>
      <c r="X251">
        <v>0</v>
      </c>
      <c r="Y251">
        <v>0</v>
      </c>
      <c r="Z251">
        <v>0</v>
      </c>
    </row>
    <row r="252" spans="22:26" x14ac:dyDescent="0.2">
      <c r="V252" t="s">
        <v>29</v>
      </c>
      <c r="W252">
        <v>200</v>
      </c>
      <c r="X252">
        <v>0</v>
      </c>
      <c r="Y252">
        <v>20</v>
      </c>
      <c r="Z252">
        <f t="shared" ref="Z252:Z258" si="17">W252*X252*Y252</f>
        <v>0</v>
      </c>
    </row>
    <row r="253" spans="22:26" x14ac:dyDescent="0.2">
      <c r="V253" t="s">
        <v>30</v>
      </c>
      <c r="W253">
        <v>172</v>
      </c>
      <c r="X253">
        <v>0</v>
      </c>
      <c r="Y253">
        <v>5</v>
      </c>
      <c r="Z253">
        <f t="shared" si="17"/>
        <v>0</v>
      </c>
    </row>
    <row r="254" spans="22:26" x14ac:dyDescent="0.2">
      <c r="V254" t="s">
        <v>23</v>
      </c>
      <c r="W254">
        <v>1300</v>
      </c>
      <c r="X254">
        <v>0</v>
      </c>
      <c r="Y254">
        <v>20</v>
      </c>
      <c r="Z254">
        <f t="shared" si="17"/>
        <v>0</v>
      </c>
    </row>
    <row r="255" spans="22:26" x14ac:dyDescent="0.2">
      <c r="V255" t="s">
        <v>22</v>
      </c>
      <c r="W255">
        <v>650</v>
      </c>
      <c r="X255">
        <v>0</v>
      </c>
      <c r="Y255">
        <v>20</v>
      </c>
      <c r="Z255">
        <f t="shared" si="17"/>
        <v>0</v>
      </c>
    </row>
    <row r="256" spans="22:26" x14ac:dyDescent="0.2">
      <c r="V256" t="s">
        <v>31</v>
      </c>
      <c r="W256">
        <v>0</v>
      </c>
      <c r="X256">
        <v>0</v>
      </c>
      <c r="Y256">
        <v>0</v>
      </c>
      <c r="Z256">
        <f t="shared" si="17"/>
        <v>0</v>
      </c>
    </row>
    <row r="257" spans="22:26" x14ac:dyDescent="0.2">
      <c r="V257" t="s">
        <v>32</v>
      </c>
      <c r="W257">
        <v>4</v>
      </c>
      <c r="X257">
        <v>0</v>
      </c>
      <c r="Y257">
        <v>20</v>
      </c>
      <c r="Z257">
        <f t="shared" si="17"/>
        <v>0</v>
      </c>
    </row>
    <row r="258" spans="22:26" x14ac:dyDescent="0.2">
      <c r="V258" t="s">
        <v>21</v>
      </c>
      <c r="W258">
        <v>432</v>
      </c>
      <c r="X258">
        <v>0</v>
      </c>
      <c r="Y258">
        <v>1</v>
      </c>
      <c r="Z258">
        <f t="shared" si="17"/>
        <v>0</v>
      </c>
    </row>
    <row r="261" spans="22:26" x14ac:dyDescent="0.2">
      <c r="Y261" s="1" t="s">
        <v>38</v>
      </c>
      <c r="Z261">
        <f>SUM(Z230:Z259)</f>
        <v>30480</v>
      </c>
    </row>
    <row r="262" spans="22:26" x14ac:dyDescent="0.2">
      <c r="V262" t="s">
        <v>44</v>
      </c>
      <c r="Y262" s="2">
        <v>0.05</v>
      </c>
      <c r="Z262">
        <f>Z261*0.05</f>
        <v>1524</v>
      </c>
    </row>
    <row r="263" spans="22:26" x14ac:dyDescent="0.2">
      <c r="Z263">
        <f>Z261+Z262</f>
        <v>32004</v>
      </c>
    </row>
    <row r="265" spans="22:26" x14ac:dyDescent="0.2">
      <c r="V265" s="1" t="s">
        <v>39</v>
      </c>
    </row>
    <row r="266" spans="22:26" x14ac:dyDescent="0.2">
      <c r="V266" t="s">
        <v>0</v>
      </c>
      <c r="W266">
        <v>53</v>
      </c>
      <c r="X266">
        <v>0</v>
      </c>
      <c r="Y266">
        <v>8</v>
      </c>
      <c r="Z266">
        <f>W266*X266*Y266</f>
        <v>0</v>
      </c>
    </row>
    <row r="267" spans="22:26" x14ac:dyDescent="0.2">
      <c r="V267" t="s">
        <v>1</v>
      </c>
      <c r="W267">
        <v>51</v>
      </c>
      <c r="X267">
        <v>6</v>
      </c>
      <c r="Y267">
        <v>8</v>
      </c>
      <c r="Z267">
        <f>W267*X267*Y267</f>
        <v>2448</v>
      </c>
    </row>
    <row r="268" spans="22:26" x14ac:dyDescent="0.2">
      <c r="V268" t="s">
        <v>2</v>
      </c>
      <c r="W268">
        <v>52</v>
      </c>
      <c r="X268">
        <v>6</v>
      </c>
      <c r="Y268">
        <v>8</v>
      </c>
      <c r="Z268">
        <f>W268*X268*Y268</f>
        <v>2496</v>
      </c>
    </row>
    <row r="269" spans="22:26" x14ac:dyDescent="0.2">
      <c r="V269" t="s">
        <v>3</v>
      </c>
      <c r="W269">
        <v>34</v>
      </c>
      <c r="X269">
        <v>6</v>
      </c>
      <c r="Y269">
        <v>8</v>
      </c>
      <c r="Z269">
        <f t="shared" ref="Z269:Z285" si="18">W269*X269*Y269</f>
        <v>1632</v>
      </c>
    </row>
    <row r="270" spans="22:26" x14ac:dyDescent="0.2">
      <c r="V270" t="s">
        <v>4</v>
      </c>
      <c r="W270">
        <v>42</v>
      </c>
      <c r="X270">
        <v>6</v>
      </c>
      <c r="Y270">
        <v>8</v>
      </c>
      <c r="Z270">
        <f t="shared" si="18"/>
        <v>2016</v>
      </c>
    </row>
    <row r="271" spans="22:26" x14ac:dyDescent="0.2">
      <c r="V271" t="s">
        <v>5</v>
      </c>
      <c r="W271">
        <v>48</v>
      </c>
      <c r="X271">
        <v>6</v>
      </c>
      <c r="Y271">
        <v>8</v>
      </c>
      <c r="Z271">
        <f t="shared" si="18"/>
        <v>2304</v>
      </c>
    </row>
    <row r="272" spans="22:26" x14ac:dyDescent="0.2">
      <c r="V272" t="s">
        <v>6</v>
      </c>
      <c r="W272">
        <v>46</v>
      </c>
      <c r="X272">
        <v>6</v>
      </c>
      <c r="Y272">
        <v>8</v>
      </c>
      <c r="Z272">
        <f t="shared" si="18"/>
        <v>2208</v>
      </c>
    </row>
    <row r="273" spans="22:26" x14ac:dyDescent="0.2">
      <c r="V273" t="s">
        <v>12</v>
      </c>
      <c r="W273">
        <v>46</v>
      </c>
      <c r="X273">
        <v>6</v>
      </c>
      <c r="Y273">
        <v>8</v>
      </c>
      <c r="Z273">
        <f t="shared" si="18"/>
        <v>2208</v>
      </c>
    </row>
    <row r="274" spans="22:26" x14ac:dyDescent="0.2">
      <c r="V274" t="s">
        <v>14</v>
      </c>
      <c r="W274">
        <v>33</v>
      </c>
      <c r="X274">
        <v>6</v>
      </c>
      <c r="Y274">
        <v>8</v>
      </c>
      <c r="Z274">
        <f t="shared" si="18"/>
        <v>1584</v>
      </c>
    </row>
    <row r="275" spans="22:26" x14ac:dyDescent="0.2">
      <c r="V275" t="s">
        <v>13</v>
      </c>
      <c r="W275">
        <v>33</v>
      </c>
      <c r="X275">
        <v>6</v>
      </c>
      <c r="Y275">
        <v>8</v>
      </c>
      <c r="Z275">
        <f t="shared" si="18"/>
        <v>1584</v>
      </c>
    </row>
    <row r="276" spans="22:26" x14ac:dyDescent="0.2">
      <c r="V276" t="s">
        <v>15</v>
      </c>
      <c r="W276">
        <v>28</v>
      </c>
      <c r="X276">
        <v>6</v>
      </c>
      <c r="Y276">
        <v>8</v>
      </c>
      <c r="Z276">
        <f t="shared" si="18"/>
        <v>1344</v>
      </c>
    </row>
    <row r="277" spans="22:26" x14ac:dyDescent="0.2">
      <c r="V277" t="s">
        <v>7</v>
      </c>
      <c r="W277">
        <v>28</v>
      </c>
      <c r="X277">
        <v>6</v>
      </c>
      <c r="Y277">
        <v>8</v>
      </c>
      <c r="Z277">
        <f t="shared" si="18"/>
        <v>1344</v>
      </c>
    </row>
    <row r="278" spans="22:26" x14ac:dyDescent="0.2">
      <c r="V278" t="s">
        <v>19</v>
      </c>
      <c r="W278">
        <v>25</v>
      </c>
      <c r="X278">
        <v>6</v>
      </c>
      <c r="Y278">
        <v>8</v>
      </c>
      <c r="Z278">
        <f t="shared" si="18"/>
        <v>1200</v>
      </c>
    </row>
    <row r="279" spans="22:26" x14ac:dyDescent="0.2">
      <c r="V279" t="s">
        <v>18</v>
      </c>
      <c r="W279">
        <v>25</v>
      </c>
      <c r="X279">
        <v>6</v>
      </c>
      <c r="Y279">
        <v>8</v>
      </c>
      <c r="Z279">
        <f t="shared" si="18"/>
        <v>1200</v>
      </c>
    </row>
    <row r="280" spans="22:26" x14ac:dyDescent="0.2">
      <c r="V280" t="s">
        <v>17</v>
      </c>
      <c r="W280">
        <v>25</v>
      </c>
      <c r="X280">
        <v>6</v>
      </c>
      <c r="Y280">
        <v>8</v>
      </c>
      <c r="Z280">
        <f t="shared" si="18"/>
        <v>1200</v>
      </c>
    </row>
    <row r="281" spans="22:26" x14ac:dyDescent="0.2">
      <c r="V281" t="s">
        <v>16</v>
      </c>
      <c r="W281">
        <v>25</v>
      </c>
      <c r="X281">
        <v>6</v>
      </c>
      <c r="Y281">
        <v>8</v>
      </c>
      <c r="Z281">
        <f t="shared" si="18"/>
        <v>1200</v>
      </c>
    </row>
    <row r="282" spans="22:26" x14ac:dyDescent="0.2">
      <c r="V282" t="s">
        <v>8</v>
      </c>
      <c r="W282">
        <v>25</v>
      </c>
      <c r="X282">
        <v>6</v>
      </c>
      <c r="Y282">
        <v>8</v>
      </c>
      <c r="Z282">
        <f t="shared" si="18"/>
        <v>1200</v>
      </c>
    </row>
    <row r="283" spans="22:26" x14ac:dyDescent="0.2">
      <c r="V283" t="s">
        <v>9</v>
      </c>
      <c r="W283">
        <v>34</v>
      </c>
      <c r="X283">
        <v>6</v>
      </c>
      <c r="Y283">
        <v>8</v>
      </c>
      <c r="Z283">
        <f t="shared" si="18"/>
        <v>1632</v>
      </c>
    </row>
    <row r="284" spans="22:26" x14ac:dyDescent="0.2">
      <c r="V284" t="s">
        <v>10</v>
      </c>
      <c r="W284">
        <v>35</v>
      </c>
      <c r="X284">
        <v>6</v>
      </c>
      <c r="Y284">
        <v>8</v>
      </c>
      <c r="Z284">
        <f t="shared" si="18"/>
        <v>1680</v>
      </c>
    </row>
    <row r="285" spans="22:26" x14ac:dyDescent="0.2">
      <c r="V285" t="s">
        <v>11</v>
      </c>
      <c r="W285">
        <v>36</v>
      </c>
      <c r="X285">
        <v>0</v>
      </c>
      <c r="Y285">
        <v>8</v>
      </c>
      <c r="Z285">
        <f t="shared" si="18"/>
        <v>0</v>
      </c>
    </row>
    <row r="286" spans="22:26" x14ac:dyDescent="0.2">
      <c r="V286" t="s">
        <v>27</v>
      </c>
      <c r="W286">
        <v>0</v>
      </c>
      <c r="X286">
        <v>0</v>
      </c>
      <c r="Y286">
        <v>0</v>
      </c>
      <c r="Z286">
        <v>0</v>
      </c>
    </row>
    <row r="287" spans="22:26" x14ac:dyDescent="0.2">
      <c r="V287" t="s">
        <v>28</v>
      </c>
      <c r="W287">
        <v>0</v>
      </c>
      <c r="X287">
        <v>0</v>
      </c>
      <c r="Y287">
        <v>0</v>
      </c>
      <c r="Z287">
        <v>0</v>
      </c>
    </row>
    <row r="288" spans="22:26" x14ac:dyDescent="0.2">
      <c r="V288" t="s">
        <v>29</v>
      </c>
      <c r="W288">
        <v>200</v>
      </c>
      <c r="X288">
        <v>0</v>
      </c>
      <c r="Y288">
        <v>20</v>
      </c>
      <c r="Z288">
        <f t="shared" ref="Z288:Z294" si="19">W288*X288*Y288</f>
        <v>0</v>
      </c>
    </row>
    <row r="289" spans="22:26" x14ac:dyDescent="0.2">
      <c r="V289" t="s">
        <v>30</v>
      </c>
      <c r="W289">
        <v>172</v>
      </c>
      <c r="X289">
        <v>0</v>
      </c>
      <c r="Y289">
        <v>5</v>
      </c>
      <c r="Z289">
        <f t="shared" si="19"/>
        <v>0</v>
      </c>
    </row>
    <row r="290" spans="22:26" x14ac:dyDescent="0.2">
      <c r="V290" t="s">
        <v>23</v>
      </c>
      <c r="W290">
        <v>1300</v>
      </c>
      <c r="X290">
        <v>0</v>
      </c>
      <c r="Y290">
        <v>20</v>
      </c>
      <c r="Z290">
        <f t="shared" si="19"/>
        <v>0</v>
      </c>
    </row>
    <row r="291" spans="22:26" x14ac:dyDescent="0.2">
      <c r="V291" t="s">
        <v>22</v>
      </c>
      <c r="W291">
        <v>650</v>
      </c>
      <c r="X291">
        <v>0</v>
      </c>
      <c r="Y291">
        <v>20</v>
      </c>
      <c r="Z291">
        <f t="shared" si="19"/>
        <v>0</v>
      </c>
    </row>
    <row r="292" spans="22:26" x14ac:dyDescent="0.2">
      <c r="V292" t="s">
        <v>31</v>
      </c>
      <c r="W292">
        <v>0</v>
      </c>
      <c r="X292">
        <v>0</v>
      </c>
      <c r="Y292">
        <v>0</v>
      </c>
      <c r="Z292">
        <f t="shared" si="19"/>
        <v>0</v>
      </c>
    </row>
    <row r="293" spans="22:26" x14ac:dyDescent="0.2">
      <c r="V293" t="s">
        <v>32</v>
      </c>
      <c r="W293">
        <v>4</v>
      </c>
      <c r="X293">
        <v>0</v>
      </c>
      <c r="Y293">
        <v>20</v>
      </c>
      <c r="Z293">
        <f t="shared" si="19"/>
        <v>0</v>
      </c>
    </row>
    <row r="294" spans="22:26" x14ac:dyDescent="0.2">
      <c r="V294" t="s">
        <v>21</v>
      </c>
      <c r="W294">
        <v>432</v>
      </c>
      <c r="X294">
        <v>0</v>
      </c>
      <c r="Y294">
        <v>1</v>
      </c>
      <c r="Z294">
        <f t="shared" si="19"/>
        <v>0</v>
      </c>
    </row>
    <row r="297" spans="22:26" x14ac:dyDescent="0.2">
      <c r="Y297" s="1" t="s">
        <v>39</v>
      </c>
      <c r="Z297">
        <f>SUM(Z266:Z295)</f>
        <v>30480</v>
      </c>
    </row>
    <row r="298" spans="22:26" x14ac:dyDescent="0.2">
      <c r="V298" t="s">
        <v>44</v>
      </c>
      <c r="Y298" s="2">
        <v>0.05</v>
      </c>
      <c r="Z298">
        <f>Z297*0.05</f>
        <v>1524</v>
      </c>
    </row>
    <row r="299" spans="22:26" x14ac:dyDescent="0.2">
      <c r="Z299">
        <f>Z297+Z298</f>
        <v>32004</v>
      </c>
    </row>
    <row r="305" spans="22:26" x14ac:dyDescent="0.2">
      <c r="V305" s="1" t="s">
        <v>40</v>
      </c>
    </row>
    <row r="306" spans="22:26" x14ac:dyDescent="0.2">
      <c r="V306" t="s">
        <v>0</v>
      </c>
      <c r="W306">
        <v>53</v>
      </c>
      <c r="X306">
        <v>0</v>
      </c>
      <c r="Y306">
        <v>8</v>
      </c>
      <c r="Z306">
        <f>W306*X306*Y306</f>
        <v>0</v>
      </c>
    </row>
    <row r="307" spans="22:26" x14ac:dyDescent="0.2">
      <c r="V307" t="s">
        <v>1</v>
      </c>
      <c r="W307">
        <v>51</v>
      </c>
      <c r="X307">
        <v>6</v>
      </c>
      <c r="Y307">
        <v>8</v>
      </c>
      <c r="Z307">
        <f>W307*X307*Y307</f>
        <v>2448</v>
      </c>
    </row>
    <row r="308" spans="22:26" x14ac:dyDescent="0.2">
      <c r="V308" t="s">
        <v>2</v>
      </c>
      <c r="W308">
        <v>52</v>
      </c>
      <c r="X308">
        <v>6</v>
      </c>
      <c r="Y308">
        <v>8</v>
      </c>
      <c r="Z308">
        <f>W308*X308*Y308</f>
        <v>2496</v>
      </c>
    </row>
    <row r="309" spans="22:26" x14ac:dyDescent="0.2">
      <c r="V309" t="s">
        <v>3</v>
      </c>
      <c r="W309">
        <v>34</v>
      </c>
      <c r="X309">
        <v>6</v>
      </c>
      <c r="Y309">
        <v>8</v>
      </c>
      <c r="Z309">
        <f t="shared" ref="Z309:Z325" si="20">W309*X309*Y309</f>
        <v>1632</v>
      </c>
    </row>
    <row r="310" spans="22:26" x14ac:dyDescent="0.2">
      <c r="V310" t="s">
        <v>4</v>
      </c>
      <c r="W310">
        <v>42</v>
      </c>
      <c r="X310">
        <v>6</v>
      </c>
      <c r="Y310">
        <v>8</v>
      </c>
      <c r="Z310">
        <f t="shared" si="20"/>
        <v>2016</v>
      </c>
    </row>
    <row r="311" spans="22:26" x14ac:dyDescent="0.2">
      <c r="V311" t="s">
        <v>5</v>
      </c>
      <c r="W311">
        <v>48</v>
      </c>
      <c r="X311">
        <v>6</v>
      </c>
      <c r="Y311">
        <v>8</v>
      </c>
      <c r="Z311">
        <f t="shared" si="20"/>
        <v>2304</v>
      </c>
    </row>
    <row r="312" spans="22:26" x14ac:dyDescent="0.2">
      <c r="V312" t="s">
        <v>6</v>
      </c>
      <c r="W312">
        <v>46</v>
      </c>
      <c r="X312">
        <v>6</v>
      </c>
      <c r="Y312">
        <v>8</v>
      </c>
      <c r="Z312">
        <f t="shared" si="20"/>
        <v>2208</v>
      </c>
    </row>
    <row r="313" spans="22:26" x14ac:dyDescent="0.2">
      <c r="V313" t="s">
        <v>12</v>
      </c>
      <c r="W313">
        <v>46</v>
      </c>
      <c r="X313">
        <v>6</v>
      </c>
      <c r="Y313">
        <v>8</v>
      </c>
      <c r="Z313">
        <f t="shared" si="20"/>
        <v>2208</v>
      </c>
    </row>
    <row r="314" spans="22:26" x14ac:dyDescent="0.2">
      <c r="V314" t="s">
        <v>14</v>
      </c>
      <c r="W314">
        <v>33</v>
      </c>
      <c r="X314">
        <v>6</v>
      </c>
      <c r="Y314">
        <v>8</v>
      </c>
      <c r="Z314">
        <f t="shared" si="20"/>
        <v>1584</v>
      </c>
    </row>
    <row r="315" spans="22:26" x14ac:dyDescent="0.2">
      <c r="V315" t="s">
        <v>13</v>
      </c>
      <c r="W315">
        <v>33</v>
      </c>
      <c r="X315">
        <v>6</v>
      </c>
      <c r="Y315">
        <v>8</v>
      </c>
      <c r="Z315">
        <f t="shared" si="20"/>
        <v>1584</v>
      </c>
    </row>
    <row r="316" spans="22:26" x14ac:dyDescent="0.2">
      <c r="V316" t="s">
        <v>15</v>
      </c>
      <c r="W316">
        <v>28</v>
      </c>
      <c r="X316">
        <v>6</v>
      </c>
      <c r="Y316">
        <v>8</v>
      </c>
      <c r="Z316">
        <f t="shared" si="20"/>
        <v>1344</v>
      </c>
    </row>
    <row r="317" spans="22:26" x14ac:dyDescent="0.2">
      <c r="V317" t="s">
        <v>7</v>
      </c>
      <c r="W317">
        <v>28</v>
      </c>
      <c r="X317">
        <v>6</v>
      </c>
      <c r="Y317">
        <v>8</v>
      </c>
      <c r="Z317">
        <f t="shared" si="20"/>
        <v>1344</v>
      </c>
    </row>
    <row r="318" spans="22:26" x14ac:dyDescent="0.2">
      <c r="V318" t="s">
        <v>19</v>
      </c>
      <c r="W318">
        <v>25</v>
      </c>
      <c r="X318">
        <v>6</v>
      </c>
      <c r="Y318">
        <v>8</v>
      </c>
      <c r="Z318">
        <f t="shared" si="20"/>
        <v>1200</v>
      </c>
    </row>
    <row r="319" spans="22:26" x14ac:dyDescent="0.2">
      <c r="V319" t="s">
        <v>18</v>
      </c>
      <c r="W319">
        <v>25</v>
      </c>
      <c r="X319">
        <v>6</v>
      </c>
      <c r="Y319">
        <v>8</v>
      </c>
      <c r="Z319">
        <f t="shared" si="20"/>
        <v>1200</v>
      </c>
    </row>
    <row r="320" spans="22:26" x14ac:dyDescent="0.2">
      <c r="V320" t="s">
        <v>17</v>
      </c>
      <c r="W320">
        <v>25</v>
      </c>
      <c r="X320">
        <v>6</v>
      </c>
      <c r="Y320">
        <v>8</v>
      </c>
      <c r="Z320">
        <f t="shared" si="20"/>
        <v>1200</v>
      </c>
    </row>
    <row r="321" spans="22:26" x14ac:dyDescent="0.2">
      <c r="V321" t="s">
        <v>16</v>
      </c>
      <c r="W321">
        <v>25</v>
      </c>
      <c r="X321">
        <v>6</v>
      </c>
      <c r="Y321">
        <v>8</v>
      </c>
      <c r="Z321">
        <f t="shared" si="20"/>
        <v>1200</v>
      </c>
    </row>
    <row r="322" spans="22:26" x14ac:dyDescent="0.2">
      <c r="V322" t="s">
        <v>8</v>
      </c>
      <c r="W322">
        <v>25</v>
      </c>
      <c r="X322">
        <v>6</v>
      </c>
      <c r="Y322">
        <v>8</v>
      </c>
      <c r="Z322">
        <f t="shared" si="20"/>
        <v>1200</v>
      </c>
    </row>
    <row r="323" spans="22:26" x14ac:dyDescent="0.2">
      <c r="V323" t="s">
        <v>9</v>
      </c>
      <c r="W323">
        <v>34</v>
      </c>
      <c r="X323">
        <v>6</v>
      </c>
      <c r="Y323">
        <v>8</v>
      </c>
      <c r="Z323">
        <f t="shared" si="20"/>
        <v>1632</v>
      </c>
    </row>
    <row r="324" spans="22:26" x14ac:dyDescent="0.2">
      <c r="V324" t="s">
        <v>10</v>
      </c>
      <c r="W324">
        <v>35</v>
      </c>
      <c r="X324">
        <v>6</v>
      </c>
      <c r="Y324">
        <v>8</v>
      </c>
      <c r="Z324">
        <f t="shared" si="20"/>
        <v>1680</v>
      </c>
    </row>
    <row r="325" spans="22:26" x14ac:dyDescent="0.2">
      <c r="V325" t="s">
        <v>11</v>
      </c>
      <c r="W325">
        <v>36</v>
      </c>
      <c r="X325">
        <v>0</v>
      </c>
      <c r="Y325">
        <v>8</v>
      </c>
      <c r="Z325">
        <f t="shared" si="20"/>
        <v>0</v>
      </c>
    </row>
    <row r="326" spans="22:26" x14ac:dyDescent="0.2">
      <c r="V326" t="s">
        <v>27</v>
      </c>
      <c r="W326">
        <v>0</v>
      </c>
      <c r="X326">
        <v>0</v>
      </c>
      <c r="Y326">
        <v>0</v>
      </c>
      <c r="Z326">
        <v>0</v>
      </c>
    </row>
    <row r="327" spans="22:26" x14ac:dyDescent="0.2">
      <c r="V327" t="s">
        <v>28</v>
      </c>
      <c r="W327">
        <v>0</v>
      </c>
      <c r="X327">
        <v>0</v>
      </c>
      <c r="Y327">
        <v>0</v>
      </c>
      <c r="Z327">
        <v>0</v>
      </c>
    </row>
    <row r="328" spans="22:26" x14ac:dyDescent="0.2">
      <c r="V328" t="s">
        <v>29</v>
      </c>
      <c r="W328">
        <v>200</v>
      </c>
      <c r="X328">
        <v>0</v>
      </c>
      <c r="Y328">
        <v>20</v>
      </c>
      <c r="Z328">
        <f t="shared" ref="Z328:Z334" si="21">W328*X328*Y328</f>
        <v>0</v>
      </c>
    </row>
    <row r="329" spans="22:26" x14ac:dyDescent="0.2">
      <c r="V329" t="s">
        <v>30</v>
      </c>
      <c r="W329">
        <v>172</v>
      </c>
      <c r="X329">
        <v>0</v>
      </c>
      <c r="Y329">
        <v>5</v>
      </c>
      <c r="Z329">
        <f t="shared" si="21"/>
        <v>0</v>
      </c>
    </row>
    <row r="330" spans="22:26" x14ac:dyDescent="0.2">
      <c r="V330" t="s">
        <v>23</v>
      </c>
      <c r="W330">
        <v>1300</v>
      </c>
      <c r="X330">
        <v>0</v>
      </c>
      <c r="Y330">
        <v>20</v>
      </c>
      <c r="Z330">
        <f t="shared" si="21"/>
        <v>0</v>
      </c>
    </row>
    <row r="331" spans="22:26" x14ac:dyDescent="0.2">
      <c r="V331" t="s">
        <v>22</v>
      </c>
      <c r="W331">
        <v>650</v>
      </c>
      <c r="X331">
        <v>0</v>
      </c>
      <c r="Y331">
        <v>20</v>
      </c>
      <c r="Z331">
        <f t="shared" si="21"/>
        <v>0</v>
      </c>
    </row>
    <row r="332" spans="22:26" x14ac:dyDescent="0.2">
      <c r="V332" t="s">
        <v>31</v>
      </c>
      <c r="W332">
        <v>0</v>
      </c>
      <c r="X332">
        <v>0</v>
      </c>
      <c r="Y332">
        <v>0</v>
      </c>
      <c r="Z332">
        <f t="shared" si="21"/>
        <v>0</v>
      </c>
    </row>
    <row r="333" spans="22:26" x14ac:dyDescent="0.2">
      <c r="V333" t="s">
        <v>32</v>
      </c>
      <c r="W333">
        <v>4</v>
      </c>
      <c r="X333">
        <v>0</v>
      </c>
      <c r="Y333">
        <v>20</v>
      </c>
      <c r="Z333">
        <f t="shared" si="21"/>
        <v>0</v>
      </c>
    </row>
    <row r="334" spans="22:26" x14ac:dyDescent="0.2">
      <c r="V334" t="s">
        <v>21</v>
      </c>
      <c r="W334">
        <v>432</v>
      </c>
      <c r="X334">
        <v>0</v>
      </c>
      <c r="Y334">
        <v>1</v>
      </c>
      <c r="Z334">
        <f t="shared" si="21"/>
        <v>0</v>
      </c>
    </row>
    <row r="337" spans="22:26" x14ac:dyDescent="0.2">
      <c r="Y337" s="1" t="s">
        <v>40</v>
      </c>
      <c r="Z337">
        <f>SUM(Z306:Z335)</f>
        <v>30480</v>
      </c>
    </row>
    <row r="338" spans="22:26" x14ac:dyDescent="0.2">
      <c r="V338" t="s">
        <v>44</v>
      </c>
      <c r="Y338" s="2">
        <v>0.05</v>
      </c>
      <c r="Z338">
        <f>Z337*0.05</f>
        <v>1524</v>
      </c>
    </row>
    <row r="339" spans="22:26" x14ac:dyDescent="0.2">
      <c r="Z339">
        <f>Z337+Z338</f>
        <v>32004</v>
      </c>
    </row>
    <row r="343" spans="22:26" x14ac:dyDescent="0.2">
      <c r="V343" s="1" t="s">
        <v>41</v>
      </c>
    </row>
    <row r="344" spans="22:26" x14ac:dyDescent="0.2">
      <c r="V344" t="s">
        <v>0</v>
      </c>
      <c r="W344">
        <v>53</v>
      </c>
      <c r="X344">
        <v>0</v>
      </c>
      <c r="Y344">
        <v>8</v>
      </c>
      <c r="Z344">
        <f>W344*X344*Y344</f>
        <v>0</v>
      </c>
    </row>
    <row r="345" spans="22:26" x14ac:dyDescent="0.2">
      <c r="V345" t="s">
        <v>1</v>
      </c>
      <c r="W345">
        <v>51</v>
      </c>
      <c r="X345">
        <v>6</v>
      </c>
      <c r="Y345">
        <v>8</v>
      </c>
      <c r="Z345">
        <f>W345*X345*Y345</f>
        <v>2448</v>
      </c>
    </row>
    <row r="346" spans="22:26" x14ac:dyDescent="0.2">
      <c r="V346" t="s">
        <v>2</v>
      </c>
      <c r="W346">
        <v>52</v>
      </c>
      <c r="X346">
        <v>6</v>
      </c>
      <c r="Y346">
        <v>8</v>
      </c>
      <c r="Z346">
        <f>W346*X346*Y346</f>
        <v>2496</v>
      </c>
    </row>
    <row r="347" spans="22:26" x14ac:dyDescent="0.2">
      <c r="V347" t="s">
        <v>3</v>
      </c>
      <c r="W347">
        <v>34</v>
      </c>
      <c r="X347">
        <v>6</v>
      </c>
      <c r="Y347">
        <v>8</v>
      </c>
      <c r="Z347">
        <f t="shared" ref="Z347:Z363" si="22">W347*X347*Y347</f>
        <v>1632</v>
      </c>
    </row>
    <row r="348" spans="22:26" x14ac:dyDescent="0.2">
      <c r="V348" t="s">
        <v>4</v>
      </c>
      <c r="W348">
        <v>42</v>
      </c>
      <c r="X348">
        <v>6</v>
      </c>
      <c r="Y348">
        <v>8</v>
      </c>
      <c r="Z348">
        <f t="shared" si="22"/>
        <v>2016</v>
      </c>
    </row>
    <row r="349" spans="22:26" x14ac:dyDescent="0.2">
      <c r="V349" t="s">
        <v>5</v>
      </c>
      <c r="W349">
        <v>48</v>
      </c>
      <c r="X349">
        <v>6</v>
      </c>
      <c r="Y349">
        <v>8</v>
      </c>
      <c r="Z349">
        <f t="shared" si="22"/>
        <v>2304</v>
      </c>
    </row>
    <row r="350" spans="22:26" x14ac:dyDescent="0.2">
      <c r="V350" t="s">
        <v>6</v>
      </c>
      <c r="W350">
        <v>46</v>
      </c>
      <c r="X350">
        <v>6</v>
      </c>
      <c r="Y350">
        <v>8</v>
      </c>
      <c r="Z350">
        <f t="shared" si="22"/>
        <v>2208</v>
      </c>
    </row>
    <row r="351" spans="22:26" x14ac:dyDescent="0.2">
      <c r="V351" t="s">
        <v>12</v>
      </c>
      <c r="W351">
        <v>46</v>
      </c>
      <c r="X351">
        <v>6</v>
      </c>
      <c r="Y351">
        <v>8</v>
      </c>
      <c r="Z351">
        <f t="shared" si="22"/>
        <v>2208</v>
      </c>
    </row>
    <row r="352" spans="22:26" x14ac:dyDescent="0.2">
      <c r="V352" t="s">
        <v>14</v>
      </c>
      <c r="W352">
        <v>33</v>
      </c>
      <c r="X352">
        <v>6</v>
      </c>
      <c r="Y352">
        <v>8</v>
      </c>
      <c r="Z352">
        <f t="shared" si="22"/>
        <v>1584</v>
      </c>
    </row>
    <row r="353" spans="22:26" x14ac:dyDescent="0.2">
      <c r="V353" t="s">
        <v>13</v>
      </c>
      <c r="W353">
        <v>33</v>
      </c>
      <c r="X353">
        <v>6</v>
      </c>
      <c r="Y353">
        <v>8</v>
      </c>
      <c r="Z353">
        <f t="shared" si="22"/>
        <v>1584</v>
      </c>
    </row>
    <row r="354" spans="22:26" x14ac:dyDescent="0.2">
      <c r="V354" t="s">
        <v>15</v>
      </c>
      <c r="W354">
        <v>28</v>
      </c>
      <c r="X354">
        <v>6</v>
      </c>
      <c r="Y354">
        <v>8</v>
      </c>
      <c r="Z354">
        <f t="shared" si="22"/>
        <v>1344</v>
      </c>
    </row>
    <row r="355" spans="22:26" x14ac:dyDescent="0.2">
      <c r="V355" t="s">
        <v>7</v>
      </c>
      <c r="W355">
        <v>28</v>
      </c>
      <c r="X355">
        <v>6</v>
      </c>
      <c r="Y355">
        <v>8</v>
      </c>
      <c r="Z355">
        <f t="shared" si="22"/>
        <v>1344</v>
      </c>
    </row>
    <row r="356" spans="22:26" x14ac:dyDescent="0.2">
      <c r="V356" t="s">
        <v>19</v>
      </c>
      <c r="W356">
        <v>25</v>
      </c>
      <c r="X356">
        <v>6</v>
      </c>
      <c r="Y356">
        <v>8</v>
      </c>
      <c r="Z356">
        <f t="shared" si="22"/>
        <v>1200</v>
      </c>
    </row>
    <row r="357" spans="22:26" x14ac:dyDescent="0.2">
      <c r="V357" t="s">
        <v>18</v>
      </c>
      <c r="W357">
        <v>25</v>
      </c>
      <c r="X357">
        <v>6</v>
      </c>
      <c r="Y357">
        <v>8</v>
      </c>
      <c r="Z357">
        <f t="shared" si="22"/>
        <v>1200</v>
      </c>
    </row>
    <row r="358" spans="22:26" x14ac:dyDescent="0.2">
      <c r="V358" t="s">
        <v>17</v>
      </c>
      <c r="W358">
        <v>25</v>
      </c>
      <c r="X358">
        <v>6</v>
      </c>
      <c r="Y358">
        <v>8</v>
      </c>
      <c r="Z358">
        <f t="shared" si="22"/>
        <v>1200</v>
      </c>
    </row>
    <row r="359" spans="22:26" x14ac:dyDescent="0.2">
      <c r="V359" t="s">
        <v>16</v>
      </c>
      <c r="W359">
        <v>25</v>
      </c>
      <c r="X359">
        <v>6</v>
      </c>
      <c r="Y359">
        <v>8</v>
      </c>
      <c r="Z359">
        <f t="shared" si="22"/>
        <v>1200</v>
      </c>
    </row>
    <row r="360" spans="22:26" x14ac:dyDescent="0.2">
      <c r="V360" t="s">
        <v>8</v>
      </c>
      <c r="W360">
        <v>25</v>
      </c>
      <c r="X360">
        <v>6</v>
      </c>
      <c r="Y360">
        <v>8</v>
      </c>
      <c r="Z360">
        <f t="shared" si="22"/>
        <v>1200</v>
      </c>
    </row>
    <row r="361" spans="22:26" x14ac:dyDescent="0.2">
      <c r="V361" t="s">
        <v>9</v>
      </c>
      <c r="W361">
        <v>34</v>
      </c>
      <c r="X361">
        <v>6</v>
      </c>
      <c r="Y361">
        <v>8</v>
      </c>
      <c r="Z361">
        <f t="shared" si="22"/>
        <v>1632</v>
      </c>
    </row>
    <row r="362" spans="22:26" x14ac:dyDescent="0.2">
      <c r="V362" t="s">
        <v>10</v>
      </c>
      <c r="W362">
        <v>35</v>
      </c>
      <c r="X362">
        <v>6</v>
      </c>
      <c r="Y362">
        <v>8</v>
      </c>
      <c r="Z362">
        <f t="shared" si="22"/>
        <v>1680</v>
      </c>
    </row>
    <row r="363" spans="22:26" x14ac:dyDescent="0.2">
      <c r="V363" t="s">
        <v>11</v>
      </c>
      <c r="W363">
        <v>36</v>
      </c>
      <c r="X363">
        <v>0</v>
      </c>
      <c r="Y363">
        <v>8</v>
      </c>
      <c r="Z363">
        <f t="shared" si="22"/>
        <v>0</v>
      </c>
    </row>
    <row r="364" spans="22:26" x14ac:dyDescent="0.2">
      <c r="V364" t="s">
        <v>27</v>
      </c>
      <c r="W364">
        <v>0</v>
      </c>
      <c r="X364">
        <v>0</v>
      </c>
      <c r="Y364">
        <v>0</v>
      </c>
      <c r="Z364">
        <v>0</v>
      </c>
    </row>
    <row r="365" spans="22:26" x14ac:dyDescent="0.2">
      <c r="V365" t="s">
        <v>28</v>
      </c>
      <c r="W365">
        <v>0</v>
      </c>
      <c r="X365">
        <v>0</v>
      </c>
      <c r="Y365">
        <v>0</v>
      </c>
      <c r="Z365">
        <v>0</v>
      </c>
    </row>
    <row r="366" spans="22:26" x14ac:dyDescent="0.2">
      <c r="V366" t="s">
        <v>29</v>
      </c>
      <c r="W366">
        <v>200</v>
      </c>
      <c r="X366">
        <v>0</v>
      </c>
      <c r="Y366">
        <v>20</v>
      </c>
      <c r="Z366">
        <f t="shared" ref="Z366:Z372" si="23">W366*X366*Y366</f>
        <v>0</v>
      </c>
    </row>
    <row r="367" spans="22:26" x14ac:dyDescent="0.2">
      <c r="V367" t="s">
        <v>30</v>
      </c>
      <c r="W367">
        <v>172</v>
      </c>
      <c r="X367">
        <v>0</v>
      </c>
      <c r="Y367">
        <v>5</v>
      </c>
      <c r="Z367">
        <f t="shared" si="23"/>
        <v>0</v>
      </c>
    </row>
    <row r="368" spans="22:26" x14ac:dyDescent="0.2">
      <c r="V368" t="s">
        <v>23</v>
      </c>
      <c r="W368">
        <v>1300</v>
      </c>
      <c r="X368">
        <v>0</v>
      </c>
      <c r="Y368">
        <v>20</v>
      </c>
      <c r="Z368">
        <f t="shared" si="23"/>
        <v>0</v>
      </c>
    </row>
    <row r="369" spans="22:26" x14ac:dyDescent="0.2">
      <c r="V369" t="s">
        <v>22</v>
      </c>
      <c r="W369">
        <v>650</v>
      </c>
      <c r="X369">
        <v>0</v>
      </c>
      <c r="Y369">
        <v>20</v>
      </c>
      <c r="Z369">
        <f t="shared" si="23"/>
        <v>0</v>
      </c>
    </row>
    <row r="370" spans="22:26" x14ac:dyDescent="0.2">
      <c r="V370" t="s">
        <v>31</v>
      </c>
      <c r="W370">
        <v>0</v>
      </c>
      <c r="X370">
        <v>0</v>
      </c>
      <c r="Y370">
        <v>0</v>
      </c>
      <c r="Z370">
        <f t="shared" si="23"/>
        <v>0</v>
      </c>
    </row>
    <row r="371" spans="22:26" x14ac:dyDescent="0.2">
      <c r="V371" t="s">
        <v>32</v>
      </c>
      <c r="W371">
        <v>4</v>
      </c>
      <c r="X371">
        <v>0</v>
      </c>
      <c r="Y371">
        <v>20</v>
      </c>
      <c r="Z371">
        <f t="shared" si="23"/>
        <v>0</v>
      </c>
    </row>
    <row r="372" spans="22:26" x14ac:dyDescent="0.2">
      <c r="V372" t="s">
        <v>21</v>
      </c>
      <c r="W372">
        <v>432</v>
      </c>
      <c r="X372">
        <v>0</v>
      </c>
      <c r="Y372">
        <v>1</v>
      </c>
      <c r="Z372">
        <f t="shared" si="23"/>
        <v>0</v>
      </c>
    </row>
    <row r="375" spans="22:26" x14ac:dyDescent="0.2">
      <c r="Y375" s="1" t="s">
        <v>41</v>
      </c>
      <c r="Z375">
        <f>SUM(Z344:Z373)</f>
        <v>30480</v>
      </c>
    </row>
    <row r="376" spans="22:26" x14ac:dyDescent="0.2">
      <c r="V376" t="s">
        <v>44</v>
      </c>
      <c r="Y376" s="2">
        <v>0.05</v>
      </c>
      <c r="Z376">
        <f>Z375*0.05</f>
        <v>1524</v>
      </c>
    </row>
    <row r="377" spans="22:26" x14ac:dyDescent="0.2">
      <c r="Z377">
        <f>Z375+Z376</f>
        <v>32004</v>
      </c>
    </row>
    <row r="379" spans="22:26" x14ac:dyDescent="0.2">
      <c r="V379" s="1" t="s">
        <v>42</v>
      </c>
    </row>
    <row r="380" spans="22:26" x14ac:dyDescent="0.2">
      <c r="V380" t="s">
        <v>0</v>
      </c>
      <c r="W380">
        <v>53</v>
      </c>
      <c r="X380">
        <v>0</v>
      </c>
      <c r="Y380">
        <v>8</v>
      </c>
      <c r="Z380">
        <f>W380*X380*Y380</f>
        <v>0</v>
      </c>
    </row>
    <row r="381" spans="22:26" x14ac:dyDescent="0.2">
      <c r="V381" t="s">
        <v>1</v>
      </c>
      <c r="W381">
        <v>51</v>
      </c>
      <c r="X381">
        <v>6</v>
      </c>
      <c r="Y381">
        <v>8</v>
      </c>
      <c r="Z381">
        <f>W381*X381*Y381</f>
        <v>2448</v>
      </c>
    </row>
    <row r="382" spans="22:26" x14ac:dyDescent="0.2">
      <c r="V382" t="s">
        <v>2</v>
      </c>
      <c r="W382">
        <v>52</v>
      </c>
      <c r="X382">
        <v>6</v>
      </c>
      <c r="Y382">
        <v>8</v>
      </c>
      <c r="Z382">
        <f>W382*X382*Y382</f>
        <v>2496</v>
      </c>
    </row>
    <row r="383" spans="22:26" x14ac:dyDescent="0.2">
      <c r="V383" t="s">
        <v>3</v>
      </c>
      <c r="W383">
        <v>34</v>
      </c>
      <c r="X383">
        <v>6</v>
      </c>
      <c r="Y383">
        <v>8</v>
      </c>
      <c r="Z383">
        <f t="shared" ref="Z383:Z399" si="24">W383*X383*Y383</f>
        <v>1632</v>
      </c>
    </row>
    <row r="384" spans="22:26" x14ac:dyDescent="0.2">
      <c r="V384" t="s">
        <v>4</v>
      </c>
      <c r="W384">
        <v>42</v>
      </c>
      <c r="X384">
        <v>6</v>
      </c>
      <c r="Y384">
        <v>8</v>
      </c>
      <c r="Z384">
        <f t="shared" si="24"/>
        <v>2016</v>
      </c>
    </row>
    <row r="385" spans="22:26" x14ac:dyDescent="0.2">
      <c r="V385" t="s">
        <v>5</v>
      </c>
      <c r="W385">
        <v>48</v>
      </c>
      <c r="X385">
        <v>6</v>
      </c>
      <c r="Y385">
        <v>8</v>
      </c>
      <c r="Z385">
        <f t="shared" si="24"/>
        <v>2304</v>
      </c>
    </row>
    <row r="386" spans="22:26" x14ac:dyDescent="0.2">
      <c r="V386" t="s">
        <v>6</v>
      </c>
      <c r="W386">
        <v>46</v>
      </c>
      <c r="X386">
        <v>6</v>
      </c>
      <c r="Y386">
        <v>8</v>
      </c>
      <c r="Z386">
        <f t="shared" si="24"/>
        <v>2208</v>
      </c>
    </row>
    <row r="387" spans="22:26" x14ac:dyDescent="0.2">
      <c r="V387" t="s">
        <v>12</v>
      </c>
      <c r="W387">
        <v>46</v>
      </c>
      <c r="X387">
        <v>6</v>
      </c>
      <c r="Y387">
        <v>8</v>
      </c>
      <c r="Z387">
        <f t="shared" si="24"/>
        <v>2208</v>
      </c>
    </row>
    <row r="388" spans="22:26" x14ac:dyDescent="0.2">
      <c r="V388" t="s">
        <v>14</v>
      </c>
      <c r="W388">
        <v>33</v>
      </c>
      <c r="X388">
        <v>6</v>
      </c>
      <c r="Y388">
        <v>8</v>
      </c>
      <c r="Z388">
        <f t="shared" si="24"/>
        <v>1584</v>
      </c>
    </row>
    <row r="389" spans="22:26" x14ac:dyDescent="0.2">
      <c r="V389" t="s">
        <v>13</v>
      </c>
      <c r="W389">
        <v>33</v>
      </c>
      <c r="X389">
        <v>6</v>
      </c>
      <c r="Y389">
        <v>8</v>
      </c>
      <c r="Z389">
        <f t="shared" si="24"/>
        <v>1584</v>
      </c>
    </row>
    <row r="390" spans="22:26" x14ac:dyDescent="0.2">
      <c r="V390" t="s">
        <v>15</v>
      </c>
      <c r="W390">
        <v>28</v>
      </c>
      <c r="X390">
        <v>6</v>
      </c>
      <c r="Y390">
        <v>8</v>
      </c>
      <c r="Z390">
        <f t="shared" si="24"/>
        <v>1344</v>
      </c>
    </row>
    <row r="391" spans="22:26" x14ac:dyDescent="0.2">
      <c r="V391" t="s">
        <v>7</v>
      </c>
      <c r="W391">
        <v>28</v>
      </c>
      <c r="X391">
        <v>6</v>
      </c>
      <c r="Y391">
        <v>8</v>
      </c>
      <c r="Z391">
        <f t="shared" si="24"/>
        <v>1344</v>
      </c>
    </row>
    <row r="392" spans="22:26" x14ac:dyDescent="0.2">
      <c r="V392" t="s">
        <v>19</v>
      </c>
      <c r="W392">
        <v>25</v>
      </c>
      <c r="X392">
        <v>6</v>
      </c>
      <c r="Y392">
        <v>8</v>
      </c>
      <c r="Z392">
        <f t="shared" si="24"/>
        <v>1200</v>
      </c>
    </row>
    <row r="393" spans="22:26" x14ac:dyDescent="0.2">
      <c r="V393" t="s">
        <v>18</v>
      </c>
      <c r="W393">
        <v>25</v>
      </c>
      <c r="X393">
        <v>6</v>
      </c>
      <c r="Y393">
        <v>8</v>
      </c>
      <c r="Z393">
        <f t="shared" si="24"/>
        <v>1200</v>
      </c>
    </row>
    <row r="394" spans="22:26" x14ac:dyDescent="0.2">
      <c r="V394" t="s">
        <v>17</v>
      </c>
      <c r="W394">
        <v>25</v>
      </c>
      <c r="X394">
        <v>6</v>
      </c>
      <c r="Y394">
        <v>8</v>
      </c>
      <c r="Z394">
        <f t="shared" si="24"/>
        <v>1200</v>
      </c>
    </row>
    <row r="395" spans="22:26" x14ac:dyDescent="0.2">
      <c r="V395" t="s">
        <v>16</v>
      </c>
      <c r="W395">
        <v>25</v>
      </c>
      <c r="X395">
        <v>6</v>
      </c>
      <c r="Y395">
        <v>8</v>
      </c>
      <c r="Z395">
        <f t="shared" si="24"/>
        <v>1200</v>
      </c>
    </row>
    <row r="396" spans="22:26" x14ac:dyDescent="0.2">
      <c r="V396" t="s">
        <v>8</v>
      </c>
      <c r="W396">
        <v>25</v>
      </c>
      <c r="X396">
        <v>6</v>
      </c>
      <c r="Y396">
        <v>8</v>
      </c>
      <c r="Z396">
        <f t="shared" si="24"/>
        <v>1200</v>
      </c>
    </row>
    <row r="397" spans="22:26" x14ac:dyDescent="0.2">
      <c r="V397" t="s">
        <v>9</v>
      </c>
      <c r="W397">
        <v>34</v>
      </c>
      <c r="X397">
        <v>6</v>
      </c>
      <c r="Y397">
        <v>8</v>
      </c>
      <c r="Z397">
        <f t="shared" si="24"/>
        <v>1632</v>
      </c>
    </row>
    <row r="398" spans="22:26" x14ac:dyDescent="0.2">
      <c r="V398" t="s">
        <v>10</v>
      </c>
      <c r="W398">
        <v>35</v>
      </c>
      <c r="X398">
        <v>6</v>
      </c>
      <c r="Y398">
        <v>8</v>
      </c>
      <c r="Z398">
        <f t="shared" si="24"/>
        <v>1680</v>
      </c>
    </row>
    <row r="399" spans="22:26" x14ac:dyDescent="0.2">
      <c r="V399" t="s">
        <v>11</v>
      </c>
      <c r="W399">
        <v>36</v>
      </c>
      <c r="X399">
        <v>0</v>
      </c>
      <c r="Y399">
        <v>8</v>
      </c>
      <c r="Z399">
        <f t="shared" si="24"/>
        <v>0</v>
      </c>
    </row>
    <row r="400" spans="22:26" x14ac:dyDescent="0.2">
      <c r="V400" t="s">
        <v>27</v>
      </c>
      <c r="W400">
        <v>0</v>
      </c>
      <c r="X400">
        <v>0</v>
      </c>
      <c r="Y400">
        <v>0</v>
      </c>
      <c r="Z400">
        <v>0</v>
      </c>
    </row>
    <row r="401" spans="22:26" x14ac:dyDescent="0.2">
      <c r="V401" t="s">
        <v>28</v>
      </c>
      <c r="W401">
        <v>0</v>
      </c>
      <c r="X401">
        <v>0</v>
      </c>
      <c r="Y401">
        <v>0</v>
      </c>
      <c r="Z401">
        <v>0</v>
      </c>
    </row>
    <row r="402" spans="22:26" x14ac:dyDescent="0.2">
      <c r="V402" t="s">
        <v>29</v>
      </c>
      <c r="W402">
        <v>200</v>
      </c>
      <c r="X402">
        <v>0</v>
      </c>
      <c r="Y402">
        <v>20</v>
      </c>
      <c r="Z402">
        <f t="shared" ref="Z402:Z408" si="25">W402*X402*Y402</f>
        <v>0</v>
      </c>
    </row>
    <row r="403" spans="22:26" x14ac:dyDescent="0.2">
      <c r="V403" t="s">
        <v>30</v>
      </c>
      <c r="W403">
        <v>172</v>
      </c>
      <c r="X403">
        <v>0</v>
      </c>
      <c r="Y403">
        <v>5</v>
      </c>
      <c r="Z403">
        <f t="shared" si="25"/>
        <v>0</v>
      </c>
    </row>
    <row r="404" spans="22:26" x14ac:dyDescent="0.2">
      <c r="V404" t="s">
        <v>23</v>
      </c>
      <c r="W404">
        <v>1300</v>
      </c>
      <c r="X404">
        <v>0</v>
      </c>
      <c r="Y404">
        <v>20</v>
      </c>
      <c r="Z404">
        <f t="shared" si="25"/>
        <v>0</v>
      </c>
    </row>
    <row r="405" spans="22:26" x14ac:dyDescent="0.2">
      <c r="V405" t="s">
        <v>22</v>
      </c>
      <c r="W405">
        <v>650</v>
      </c>
      <c r="X405">
        <v>0</v>
      </c>
      <c r="Y405">
        <v>20</v>
      </c>
      <c r="Z405">
        <f t="shared" si="25"/>
        <v>0</v>
      </c>
    </row>
    <row r="406" spans="22:26" x14ac:dyDescent="0.2">
      <c r="V406" t="s">
        <v>31</v>
      </c>
      <c r="W406">
        <v>0</v>
      </c>
      <c r="X406">
        <v>0</v>
      </c>
      <c r="Y406">
        <v>0</v>
      </c>
      <c r="Z406">
        <f t="shared" si="25"/>
        <v>0</v>
      </c>
    </row>
    <row r="407" spans="22:26" x14ac:dyDescent="0.2">
      <c r="V407" t="s">
        <v>32</v>
      </c>
      <c r="W407">
        <v>4</v>
      </c>
      <c r="X407">
        <v>0</v>
      </c>
      <c r="Y407">
        <v>20</v>
      </c>
      <c r="Z407">
        <f t="shared" si="25"/>
        <v>0</v>
      </c>
    </row>
    <row r="408" spans="22:26" x14ac:dyDescent="0.2">
      <c r="V408" t="s">
        <v>21</v>
      </c>
      <c r="W408">
        <v>432</v>
      </c>
      <c r="X408">
        <v>0</v>
      </c>
      <c r="Y408">
        <v>1</v>
      </c>
      <c r="Z408">
        <f t="shared" si="25"/>
        <v>0</v>
      </c>
    </row>
    <row r="411" spans="22:26" x14ac:dyDescent="0.2">
      <c r="Y411" s="1" t="s">
        <v>42</v>
      </c>
      <c r="Z411">
        <f>SUM(Z380:Z409)</f>
        <v>30480</v>
      </c>
    </row>
    <row r="412" spans="22:26" x14ac:dyDescent="0.2">
      <c r="V412" t="s">
        <v>44</v>
      </c>
      <c r="Y412" s="2">
        <v>0.05</v>
      </c>
      <c r="Z412">
        <f>Z411*0.05</f>
        <v>1524</v>
      </c>
    </row>
    <row r="413" spans="22:26" x14ac:dyDescent="0.2">
      <c r="Z413">
        <f>Z411+Z412</f>
        <v>32004</v>
      </c>
    </row>
    <row r="417" spans="22:26" x14ac:dyDescent="0.2">
      <c r="V417" s="1" t="s">
        <v>43</v>
      </c>
    </row>
    <row r="418" spans="22:26" x14ac:dyDescent="0.2">
      <c r="V418" t="s">
        <v>0</v>
      </c>
      <c r="W418">
        <v>53</v>
      </c>
      <c r="X418">
        <v>0</v>
      </c>
      <c r="Y418">
        <v>8</v>
      </c>
      <c r="Z418">
        <f>W418*X418*Y418</f>
        <v>0</v>
      </c>
    </row>
    <row r="419" spans="22:26" x14ac:dyDescent="0.2">
      <c r="V419" t="s">
        <v>1</v>
      </c>
      <c r="W419">
        <v>51</v>
      </c>
      <c r="X419">
        <v>14</v>
      </c>
      <c r="Y419">
        <v>8</v>
      </c>
      <c r="Z419">
        <f>W419*X419*Y419</f>
        <v>5712</v>
      </c>
    </row>
    <row r="420" spans="22:26" x14ac:dyDescent="0.2">
      <c r="V420" t="s">
        <v>2</v>
      </c>
      <c r="W420">
        <v>52</v>
      </c>
      <c r="X420">
        <v>14</v>
      </c>
      <c r="Y420">
        <v>8</v>
      </c>
      <c r="Z420">
        <f>W420*X420*Y420</f>
        <v>5824</v>
      </c>
    </row>
    <row r="421" spans="22:26" x14ac:dyDescent="0.2">
      <c r="V421" t="s">
        <v>3</v>
      </c>
      <c r="W421">
        <v>34</v>
      </c>
      <c r="X421">
        <v>14</v>
      </c>
      <c r="Y421">
        <v>8</v>
      </c>
      <c r="Z421">
        <f t="shared" ref="Z421:Z437" si="26">W421*X421*Y421</f>
        <v>3808</v>
      </c>
    </row>
    <row r="422" spans="22:26" x14ac:dyDescent="0.2">
      <c r="V422" t="s">
        <v>4</v>
      </c>
      <c r="W422">
        <v>42</v>
      </c>
      <c r="X422">
        <v>14</v>
      </c>
      <c r="Y422">
        <v>8</v>
      </c>
      <c r="Z422">
        <f t="shared" si="26"/>
        <v>4704</v>
      </c>
    </row>
    <row r="423" spans="22:26" x14ac:dyDescent="0.2">
      <c r="V423" t="s">
        <v>5</v>
      </c>
      <c r="W423">
        <v>48</v>
      </c>
      <c r="X423">
        <v>14</v>
      </c>
      <c r="Y423">
        <v>8</v>
      </c>
      <c r="Z423">
        <f t="shared" si="26"/>
        <v>5376</v>
      </c>
    </row>
    <row r="424" spans="22:26" x14ac:dyDescent="0.2">
      <c r="V424" t="s">
        <v>6</v>
      </c>
      <c r="W424">
        <v>46</v>
      </c>
      <c r="X424">
        <v>14</v>
      </c>
      <c r="Y424">
        <v>8</v>
      </c>
      <c r="Z424">
        <f t="shared" si="26"/>
        <v>5152</v>
      </c>
    </row>
    <row r="425" spans="22:26" x14ac:dyDescent="0.2">
      <c r="V425" t="s">
        <v>12</v>
      </c>
      <c r="W425">
        <v>46</v>
      </c>
      <c r="X425">
        <v>14</v>
      </c>
      <c r="Y425">
        <v>8</v>
      </c>
      <c r="Z425">
        <f t="shared" si="26"/>
        <v>5152</v>
      </c>
    </row>
    <row r="426" spans="22:26" x14ac:dyDescent="0.2">
      <c r="V426" t="s">
        <v>14</v>
      </c>
      <c r="W426">
        <v>33</v>
      </c>
      <c r="X426">
        <v>14</v>
      </c>
      <c r="Y426">
        <v>8</v>
      </c>
      <c r="Z426">
        <f t="shared" si="26"/>
        <v>3696</v>
      </c>
    </row>
    <row r="427" spans="22:26" x14ac:dyDescent="0.2">
      <c r="V427" t="s">
        <v>13</v>
      </c>
      <c r="W427">
        <v>33</v>
      </c>
      <c r="X427">
        <v>14</v>
      </c>
      <c r="Y427">
        <v>8</v>
      </c>
      <c r="Z427">
        <f t="shared" si="26"/>
        <v>3696</v>
      </c>
    </row>
    <row r="428" spans="22:26" x14ac:dyDescent="0.2">
      <c r="V428" t="s">
        <v>15</v>
      </c>
      <c r="W428">
        <v>28</v>
      </c>
      <c r="X428">
        <v>14</v>
      </c>
      <c r="Y428">
        <v>8</v>
      </c>
      <c r="Z428">
        <f t="shared" si="26"/>
        <v>3136</v>
      </c>
    </row>
    <row r="429" spans="22:26" x14ac:dyDescent="0.2">
      <c r="V429" t="s">
        <v>7</v>
      </c>
      <c r="W429">
        <v>28</v>
      </c>
      <c r="X429">
        <v>14</v>
      </c>
      <c r="Y429">
        <v>8</v>
      </c>
      <c r="Z429">
        <f t="shared" si="26"/>
        <v>3136</v>
      </c>
    </row>
    <row r="430" spans="22:26" x14ac:dyDescent="0.2">
      <c r="V430" t="s">
        <v>19</v>
      </c>
      <c r="W430">
        <v>25</v>
      </c>
      <c r="X430">
        <v>14</v>
      </c>
      <c r="Y430">
        <v>8</v>
      </c>
      <c r="Z430">
        <f t="shared" si="26"/>
        <v>2800</v>
      </c>
    </row>
    <row r="431" spans="22:26" x14ac:dyDescent="0.2">
      <c r="V431" t="s">
        <v>18</v>
      </c>
      <c r="W431">
        <v>25</v>
      </c>
      <c r="X431">
        <v>14</v>
      </c>
      <c r="Y431">
        <v>8</v>
      </c>
      <c r="Z431">
        <f t="shared" si="26"/>
        <v>2800</v>
      </c>
    </row>
    <row r="432" spans="22:26" x14ac:dyDescent="0.2">
      <c r="V432" t="s">
        <v>17</v>
      </c>
      <c r="W432">
        <v>25</v>
      </c>
      <c r="X432">
        <v>14</v>
      </c>
      <c r="Y432">
        <v>8</v>
      </c>
      <c r="Z432">
        <f t="shared" si="26"/>
        <v>2800</v>
      </c>
    </row>
    <row r="433" spans="22:26" x14ac:dyDescent="0.2">
      <c r="V433" t="s">
        <v>16</v>
      </c>
      <c r="W433">
        <v>25</v>
      </c>
      <c r="X433">
        <v>14</v>
      </c>
      <c r="Y433">
        <v>8</v>
      </c>
      <c r="Z433">
        <f t="shared" si="26"/>
        <v>2800</v>
      </c>
    </row>
    <row r="434" spans="22:26" x14ac:dyDescent="0.2">
      <c r="V434" t="s">
        <v>8</v>
      </c>
      <c r="W434">
        <v>25</v>
      </c>
      <c r="X434">
        <v>14</v>
      </c>
      <c r="Y434">
        <v>8</v>
      </c>
      <c r="Z434">
        <f t="shared" si="26"/>
        <v>2800</v>
      </c>
    </row>
    <row r="435" spans="22:26" x14ac:dyDescent="0.2">
      <c r="V435" t="s">
        <v>9</v>
      </c>
      <c r="W435">
        <v>34</v>
      </c>
      <c r="X435">
        <v>14</v>
      </c>
      <c r="Y435">
        <v>8</v>
      </c>
      <c r="Z435">
        <f t="shared" si="26"/>
        <v>3808</v>
      </c>
    </row>
    <row r="436" spans="22:26" x14ac:dyDescent="0.2">
      <c r="V436" t="s">
        <v>10</v>
      </c>
      <c r="W436">
        <v>35</v>
      </c>
      <c r="X436">
        <v>14</v>
      </c>
      <c r="Y436">
        <v>8</v>
      </c>
      <c r="Z436">
        <f t="shared" si="26"/>
        <v>3920</v>
      </c>
    </row>
    <row r="437" spans="22:26" x14ac:dyDescent="0.2">
      <c r="V437" t="s">
        <v>11</v>
      </c>
      <c r="W437">
        <v>36</v>
      </c>
      <c r="X437">
        <v>3</v>
      </c>
      <c r="Y437">
        <v>8</v>
      </c>
      <c r="Z437">
        <f t="shared" si="26"/>
        <v>864</v>
      </c>
    </row>
    <row r="438" spans="22:26" x14ac:dyDescent="0.2">
      <c r="V438" t="s">
        <v>27</v>
      </c>
      <c r="W438">
        <v>0</v>
      </c>
      <c r="X438">
        <v>0</v>
      </c>
      <c r="Y438">
        <v>0</v>
      </c>
      <c r="Z438">
        <v>0</v>
      </c>
    </row>
    <row r="439" spans="22:26" x14ac:dyDescent="0.2">
      <c r="V439" t="s">
        <v>28</v>
      </c>
      <c r="W439">
        <v>0</v>
      </c>
      <c r="X439">
        <v>0</v>
      </c>
      <c r="Y439">
        <v>0</v>
      </c>
      <c r="Z439">
        <v>0</v>
      </c>
    </row>
    <row r="440" spans="22:26" x14ac:dyDescent="0.2">
      <c r="V440" t="s">
        <v>29</v>
      </c>
      <c r="W440">
        <v>200</v>
      </c>
      <c r="X440">
        <v>0</v>
      </c>
      <c r="Y440">
        <v>20</v>
      </c>
      <c r="Z440">
        <f t="shared" ref="Z440:Z446" si="27">W440*X440*Y440</f>
        <v>0</v>
      </c>
    </row>
    <row r="441" spans="22:26" x14ac:dyDescent="0.2">
      <c r="V441" t="s">
        <v>30</v>
      </c>
      <c r="W441">
        <v>172</v>
      </c>
      <c r="X441">
        <v>0</v>
      </c>
      <c r="Y441">
        <v>5</v>
      </c>
      <c r="Z441">
        <f t="shared" si="27"/>
        <v>0</v>
      </c>
    </row>
    <row r="442" spans="22:26" x14ac:dyDescent="0.2">
      <c r="V442" t="s">
        <v>23</v>
      </c>
      <c r="W442">
        <v>1300</v>
      </c>
      <c r="X442">
        <v>0</v>
      </c>
      <c r="Y442">
        <v>20</v>
      </c>
      <c r="Z442">
        <f t="shared" si="27"/>
        <v>0</v>
      </c>
    </row>
    <row r="443" spans="22:26" x14ac:dyDescent="0.2">
      <c r="V443" t="s">
        <v>22</v>
      </c>
      <c r="W443">
        <v>650</v>
      </c>
      <c r="X443">
        <v>0</v>
      </c>
      <c r="Y443">
        <v>20</v>
      </c>
      <c r="Z443">
        <f t="shared" si="27"/>
        <v>0</v>
      </c>
    </row>
    <row r="444" spans="22:26" x14ac:dyDescent="0.2">
      <c r="V444" t="s">
        <v>31</v>
      </c>
      <c r="W444">
        <v>0</v>
      </c>
      <c r="X444">
        <v>0</v>
      </c>
      <c r="Y444">
        <v>0</v>
      </c>
      <c r="Z444">
        <f t="shared" si="27"/>
        <v>0</v>
      </c>
    </row>
    <row r="445" spans="22:26" x14ac:dyDescent="0.2">
      <c r="V445" t="s">
        <v>32</v>
      </c>
      <c r="W445">
        <v>4</v>
      </c>
      <c r="X445">
        <v>0</v>
      </c>
      <c r="Y445">
        <v>20</v>
      </c>
      <c r="Z445">
        <f t="shared" si="27"/>
        <v>0</v>
      </c>
    </row>
    <row r="446" spans="22:26" x14ac:dyDescent="0.2">
      <c r="V446" t="s">
        <v>21</v>
      </c>
      <c r="W446">
        <v>432</v>
      </c>
      <c r="X446">
        <v>0</v>
      </c>
      <c r="Y446">
        <v>1</v>
      </c>
      <c r="Z446">
        <f t="shared" si="27"/>
        <v>0</v>
      </c>
    </row>
    <row r="449" spans="22:26" x14ac:dyDescent="0.2">
      <c r="Y449" s="1" t="s">
        <v>43</v>
      </c>
      <c r="Z449">
        <f>SUM(Z418:Z447)</f>
        <v>71984</v>
      </c>
    </row>
    <row r="450" spans="22:26" x14ac:dyDescent="0.2">
      <c r="V450" t="s">
        <v>44</v>
      </c>
      <c r="Y450" s="2">
        <v>0.05</v>
      </c>
      <c r="Z450">
        <f>Z449*0.05</f>
        <v>3599.2000000000003</v>
      </c>
    </row>
    <row r="451" spans="22:26" x14ac:dyDescent="0.2">
      <c r="Z451">
        <f>Z449+Z450</f>
        <v>75583.199999999997</v>
      </c>
    </row>
    <row r="453" spans="22:26" x14ac:dyDescent="0.2">
      <c r="Z453">
        <f>Z76+Z114+Z151+Z187+Z224+Z261+Z297+Z337+Z375+Z411+Z449</f>
        <v>535248</v>
      </c>
    </row>
    <row r="454" spans="22:26" x14ac:dyDescent="0.2">
      <c r="Y454" s="2"/>
      <c r="Z454">
        <f>Z78+Z116+Z153+Z189+Z226+Z263+Z299+Z339+Z377+Z413+Z451</f>
        <v>562010.4</v>
      </c>
    </row>
    <row r="471" spans="22:26" x14ac:dyDescent="0.2">
      <c r="V471">
        <v>10</v>
      </c>
      <c r="Z471">
        <f>Z78</f>
        <v>101472</v>
      </c>
    </row>
    <row r="472" spans="22:26" x14ac:dyDescent="0.2">
      <c r="V472">
        <v>7</v>
      </c>
      <c r="Z472">
        <f>Z116</f>
        <v>37338</v>
      </c>
    </row>
    <row r="473" spans="22:26" x14ac:dyDescent="0.2">
      <c r="V473">
        <v>13</v>
      </c>
      <c r="Z473">
        <f>Z153</f>
        <v>69342</v>
      </c>
    </row>
    <row r="474" spans="22:26" x14ac:dyDescent="0.2">
      <c r="V474">
        <v>9</v>
      </c>
      <c r="Z474">
        <f>Z189</f>
        <v>48006</v>
      </c>
    </row>
    <row r="475" spans="22:26" x14ac:dyDescent="0.2">
      <c r="V475">
        <v>13</v>
      </c>
      <c r="Z475">
        <f>Z226</f>
        <v>70249.2</v>
      </c>
    </row>
    <row r="476" spans="22:26" x14ac:dyDescent="0.2">
      <c r="V476">
        <v>6</v>
      </c>
      <c r="Z476">
        <f>Z263</f>
        <v>32004</v>
      </c>
    </row>
    <row r="477" spans="22:26" x14ac:dyDescent="0.2">
      <c r="V477">
        <v>6</v>
      </c>
      <c r="Z477">
        <f>Z299</f>
        <v>32004</v>
      </c>
    </row>
    <row r="478" spans="22:26" x14ac:dyDescent="0.2">
      <c r="V478">
        <v>6</v>
      </c>
      <c r="Z478">
        <f>Z339</f>
        <v>32004</v>
      </c>
    </row>
    <row r="479" spans="22:26" x14ac:dyDescent="0.2">
      <c r="V479">
        <v>6</v>
      </c>
      <c r="Z479">
        <f>Z377</f>
        <v>32004</v>
      </c>
    </row>
    <row r="480" spans="22:26" x14ac:dyDescent="0.2">
      <c r="V480">
        <v>6</v>
      </c>
      <c r="Z480">
        <f>Z413</f>
        <v>32004</v>
      </c>
    </row>
    <row r="481" spans="22:26" x14ac:dyDescent="0.2">
      <c r="V481">
        <v>13</v>
      </c>
      <c r="Z481">
        <f>Z451</f>
        <v>75583.199999999997</v>
      </c>
    </row>
    <row r="482" spans="22:26" x14ac:dyDescent="0.2">
      <c r="Z482" s="1">
        <f>SUM(Z471:Z481)</f>
        <v>562010.4</v>
      </c>
    </row>
    <row r="484" spans="22:26" x14ac:dyDescent="0.2">
      <c r="V484">
        <f>SUM(V471:V481)</f>
        <v>95</v>
      </c>
    </row>
  </sheetData>
  <hyperlinks>
    <hyperlink ref="AI81" r:id="rId1" xr:uid="{00FFA56C-C307-F941-9ED3-411B2674DBFC}"/>
    <hyperlink ref="AI79" r:id="rId2" display="Keyboard" xr:uid="{0D2B21BC-BE36-094D-8949-04891204D5AA}"/>
    <hyperlink ref="AI80" r:id="rId3" xr:uid="{F07916A9-8785-A248-ADD5-87771EFD2DCC}"/>
    <hyperlink ref="AI82" r:id="rId4" xr:uid="{1D9010F1-7B09-4442-8E2F-8FA34FE820A8}"/>
    <hyperlink ref="AI83" r:id="rId5" xr:uid="{F64D70F4-8E8F-1A47-B0C3-C1C1495B1C96}"/>
    <hyperlink ref="AI84" r:id="rId6" xr:uid="{8F826642-56A3-9D4F-A561-A05ED020D8BE}"/>
    <hyperlink ref="AI85" r:id="rId7" xr:uid="{933E809E-100B-D94E-9E31-B6D1DBDB2EE3}"/>
    <hyperlink ref="AI86" r:id="rId8" xr:uid="{65CA163A-5BCB-024F-89B5-058BBD59182D}"/>
    <hyperlink ref="AH54" r:id="rId9" xr:uid="{52589879-F3B2-0146-84F2-A2389C742E05}"/>
    <hyperlink ref="AH55" r:id="rId10" xr:uid="{8D93A121-EC6A-C74F-9ABF-C134B7051426}"/>
    <hyperlink ref="AH56" r:id="rId11" xr:uid="{D7CBBC4E-E66D-CD49-AAF2-BC22220E0D9A}"/>
    <hyperlink ref="AH57" r:id="rId12" xr:uid="{ADBE37E8-EC4E-0F43-B13C-7E78BB4B73BF}"/>
    <hyperlink ref="AH58" r:id="rId13" xr:uid="{179CA515-C966-4C4D-A308-31D404EC2994}"/>
    <hyperlink ref="AH59" r:id="rId14" xr:uid="{8E913CB3-7E74-E246-979A-26DF7164E892}"/>
    <hyperlink ref="AH60" r:id="rId15" location="sol=077b2a7917309a47ff35c3d0496275e95285e244" xr:uid="{B3325B9A-9461-CB4A-BA5F-C12E0AC6C0DF}"/>
    <hyperlink ref="AH61" r:id="rId16" location="sol=077b2a7917309a47ff35c3d0496275e95285e244" xr:uid="{6F815D22-9C95-2149-9039-26D19B663BB9}"/>
    <hyperlink ref="AH62" r:id="rId17" location="sol=1f6ec098bbebe4ded5ecba67a912927d61441054" xr:uid="{6D1C2146-3AC8-4448-85CF-2DA1DDCABF80}"/>
    <hyperlink ref="AH63" r:id="rId18" location="sol=1f6ec098bbebe4ded5ecba67a912927d61441054" xr:uid="{E04DD9EA-048D-644F-8229-3630BD5B3D05}"/>
    <hyperlink ref="AH64" r:id="rId19" xr:uid="{D2848C5C-0204-7F47-9D18-21D74729B444}"/>
    <hyperlink ref="AH65" r:id="rId20" xr:uid="{4B476C4E-E85F-BD44-918F-D9A47BA4A823}"/>
    <hyperlink ref="AH66" r:id="rId21" xr:uid="{564CC737-06F7-574B-B3DB-C6C868C57E8C}"/>
    <hyperlink ref="AH67" r:id="rId22" xr:uid="{6780C59A-C9C0-7840-BD54-358A6D97B9D8}"/>
    <hyperlink ref="AH68" r:id="rId23" xr:uid="{7D21DE29-A90C-AF48-A37D-C12B0F48CCCA}"/>
    <hyperlink ref="AH69" r:id="rId24" xr:uid="{4CA36B03-C037-ED4A-8ED2-5F7CE28E58D0}"/>
    <hyperlink ref="AH70" r:id="rId25" xr:uid="{73F7ACC5-01C3-9849-943E-D15CDA927F20}"/>
    <hyperlink ref="AH71" r:id="rId26" xr:uid="{EC06BDD0-D0E9-4F46-BEFF-760E46F841AF}"/>
    <hyperlink ref="AH72" r:id="rId27" xr:uid="{E137CADC-920E-074F-BCEC-66BECE128290}"/>
    <hyperlink ref="AH73" r:id="rId28" location="sol=84016d139461aca38e6d722bb3f7f84abd331b3e" xr:uid="{DDCCAAAF-F003-9D44-A19E-0626A85F7AA2}"/>
  </hyperlinks>
  <pageMargins left="0.7" right="0.7" top="0.75" bottom="0.75" header="0.3" footer="0.3"/>
  <pageSetup paperSize="9" orientation="portrait" r:id="rId29"/>
  <tableParts count="3">
    <tablePart r:id="rId30"/>
    <tablePart r:id="rId31"/>
    <tablePart r:id="rId3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1C9AC-17B8-F048-A748-CD7F7C3CBAAF}">
  <dimension ref="D2:L32"/>
  <sheetViews>
    <sheetView topLeftCell="A10" zoomScale="125" workbookViewId="0">
      <selection activeCell="D20" sqref="D20:F23"/>
    </sheetView>
  </sheetViews>
  <sheetFormatPr baseColWidth="10" defaultRowHeight="16" x14ac:dyDescent="0.2"/>
  <cols>
    <col min="4" max="4" width="16.33203125" customWidth="1"/>
    <col min="5" max="5" width="32.6640625" customWidth="1"/>
    <col min="6" max="6" width="26.1640625" customWidth="1"/>
    <col min="10" max="10" width="13.83203125" customWidth="1"/>
    <col min="11" max="11" width="28.33203125" customWidth="1"/>
    <col min="12" max="12" width="22" customWidth="1"/>
  </cols>
  <sheetData>
    <row r="2" spans="4:12" ht="17" thickBot="1" x14ac:dyDescent="0.25"/>
    <row r="3" spans="4:12" ht="35" thickBot="1" x14ac:dyDescent="0.25">
      <c r="D3" s="33" t="s">
        <v>477</v>
      </c>
      <c r="E3" s="44" t="s">
        <v>124</v>
      </c>
      <c r="F3" s="44" t="s">
        <v>279</v>
      </c>
    </row>
    <row r="4" spans="4:12" ht="35" thickBot="1" x14ac:dyDescent="0.25">
      <c r="D4" s="45" t="s">
        <v>437</v>
      </c>
      <c r="E4" s="46" t="s">
        <v>438</v>
      </c>
      <c r="F4" s="46" t="s">
        <v>439</v>
      </c>
    </row>
    <row r="5" spans="4:12" ht="35" thickBot="1" x14ac:dyDescent="0.25">
      <c r="D5" s="47" t="s">
        <v>441</v>
      </c>
      <c r="E5" s="48" t="s">
        <v>440</v>
      </c>
      <c r="F5" s="48" t="s">
        <v>459</v>
      </c>
    </row>
    <row r="6" spans="4:12" ht="52" thickBot="1" x14ac:dyDescent="0.25">
      <c r="D6" s="45" t="s">
        <v>443</v>
      </c>
      <c r="E6" s="46" t="s">
        <v>442</v>
      </c>
      <c r="F6" s="46" t="s">
        <v>460</v>
      </c>
    </row>
    <row r="7" spans="4:12" ht="35" thickBot="1" x14ac:dyDescent="0.25">
      <c r="D7" s="47" t="s">
        <v>445</v>
      </c>
      <c r="E7" s="48" t="s">
        <v>444</v>
      </c>
      <c r="F7" s="48" t="s">
        <v>461</v>
      </c>
    </row>
    <row r="8" spans="4:12" ht="52" thickBot="1" x14ac:dyDescent="0.25">
      <c r="D8" s="45" t="s">
        <v>447</v>
      </c>
      <c r="E8" s="46" t="s">
        <v>446</v>
      </c>
      <c r="F8" s="46" t="s">
        <v>462</v>
      </c>
    </row>
    <row r="9" spans="4:12" ht="52" thickBot="1" x14ac:dyDescent="0.25">
      <c r="D9" s="47" t="s">
        <v>449</v>
      </c>
      <c r="E9" s="48" t="s">
        <v>448</v>
      </c>
      <c r="F9" s="48" t="s">
        <v>463</v>
      </c>
    </row>
    <row r="10" spans="4:12" ht="52" thickBot="1" x14ac:dyDescent="0.25">
      <c r="D10" s="45" t="s">
        <v>451</v>
      </c>
      <c r="E10" s="46" t="s">
        <v>450</v>
      </c>
      <c r="F10" s="46" t="s">
        <v>464</v>
      </c>
    </row>
    <row r="11" spans="4:12" ht="171" thickBot="1" x14ac:dyDescent="0.25">
      <c r="D11" s="47" t="s">
        <v>452</v>
      </c>
      <c r="E11" s="48" t="s">
        <v>453</v>
      </c>
      <c r="F11" s="48" t="s">
        <v>465</v>
      </c>
    </row>
    <row r="12" spans="4:12" ht="52" thickBot="1" x14ac:dyDescent="0.25">
      <c r="D12" s="45" t="s">
        <v>454</v>
      </c>
      <c r="E12" s="46" t="s">
        <v>455</v>
      </c>
      <c r="F12" s="46" t="s">
        <v>466</v>
      </c>
    </row>
    <row r="13" spans="4:12" ht="35" thickBot="1" x14ac:dyDescent="0.25">
      <c r="D13" s="47" t="s">
        <v>30</v>
      </c>
      <c r="E13" s="48" t="s">
        <v>456</v>
      </c>
      <c r="F13" s="48" t="s">
        <v>467</v>
      </c>
    </row>
    <row r="14" spans="4:12" ht="69" thickBot="1" x14ac:dyDescent="0.25">
      <c r="D14" s="45" t="s">
        <v>458</v>
      </c>
      <c r="E14" s="46" t="s">
        <v>457</v>
      </c>
      <c r="F14" s="46" t="s">
        <v>468</v>
      </c>
    </row>
    <row r="15" spans="4:12" ht="17" thickBot="1" x14ac:dyDescent="0.25">
      <c r="D15" s="47"/>
      <c r="E15" s="48"/>
      <c r="F15" s="48"/>
    </row>
    <row r="16" spans="4:12" ht="17" thickBot="1" x14ac:dyDescent="0.25">
      <c r="D16" s="45"/>
      <c r="E16" s="46"/>
      <c r="F16" s="46"/>
      <c r="J16" s="45"/>
      <c r="K16" s="46"/>
      <c r="L16" s="46"/>
    </row>
    <row r="17" spans="4:12" ht="17" thickBot="1" x14ac:dyDescent="0.25">
      <c r="D17" s="47"/>
      <c r="E17" s="48"/>
      <c r="F17" s="48"/>
      <c r="J17" s="47"/>
      <c r="K17" s="48"/>
      <c r="L17" s="48"/>
    </row>
    <row r="18" spans="4:12" ht="17" thickBot="1" x14ac:dyDescent="0.25">
      <c r="J18" s="45"/>
      <c r="K18" s="46"/>
      <c r="L18" s="46"/>
    </row>
    <row r="19" spans="4:12" ht="17" thickBot="1" x14ac:dyDescent="0.25">
      <c r="J19" s="47"/>
      <c r="K19" s="48"/>
      <c r="L19" s="48"/>
    </row>
    <row r="20" spans="4:12" ht="35" thickBot="1" x14ac:dyDescent="0.25">
      <c r="D20" s="33" t="s">
        <v>478</v>
      </c>
      <c r="E20" s="44" t="s">
        <v>124</v>
      </c>
      <c r="F20" s="44" t="s">
        <v>279</v>
      </c>
      <c r="J20" s="45"/>
      <c r="K20" s="46"/>
      <c r="L20" s="46"/>
    </row>
    <row r="21" spans="4:12" ht="35" thickBot="1" x14ac:dyDescent="0.25">
      <c r="D21" s="45" t="s">
        <v>409</v>
      </c>
      <c r="E21" s="46" t="s">
        <v>410</v>
      </c>
      <c r="F21" s="46" t="s">
        <v>421</v>
      </c>
    </row>
    <row r="22" spans="4:12" ht="35" thickBot="1" x14ac:dyDescent="0.25">
      <c r="D22" s="47" t="s">
        <v>411</v>
      </c>
      <c r="E22" s="48" t="s">
        <v>412</v>
      </c>
      <c r="F22" s="48" t="s">
        <v>421</v>
      </c>
    </row>
    <row r="23" spans="4:12" ht="35" thickBot="1" x14ac:dyDescent="0.25">
      <c r="D23" s="45" t="s">
        <v>422</v>
      </c>
      <c r="E23" s="46" t="s">
        <v>414</v>
      </c>
      <c r="F23" s="46" t="s">
        <v>421</v>
      </c>
    </row>
    <row r="24" spans="4:12" ht="35" thickBot="1" x14ac:dyDescent="0.25">
      <c r="D24" s="47" t="s">
        <v>415</v>
      </c>
      <c r="E24" s="48" t="s">
        <v>416</v>
      </c>
      <c r="F24" s="48" t="s">
        <v>421</v>
      </c>
    </row>
    <row r="25" spans="4:12" ht="35" thickBot="1" x14ac:dyDescent="0.25">
      <c r="D25" s="45" t="s">
        <v>417</v>
      </c>
      <c r="E25" s="46" t="s">
        <v>418</v>
      </c>
      <c r="F25" s="46" t="s">
        <v>421</v>
      </c>
    </row>
    <row r="26" spans="4:12" ht="52" thickBot="1" x14ac:dyDescent="0.25">
      <c r="D26" s="47" t="s">
        <v>419</v>
      </c>
      <c r="E26" s="48" t="s">
        <v>420</v>
      </c>
      <c r="F26" s="48" t="s">
        <v>421</v>
      </c>
    </row>
    <row r="27" spans="4:12" ht="52" thickBot="1" x14ac:dyDescent="0.25">
      <c r="D27" s="45" t="s">
        <v>413</v>
      </c>
      <c r="E27" s="46" t="s">
        <v>423</v>
      </c>
      <c r="F27" s="46" t="s">
        <v>436</v>
      </c>
    </row>
    <row r="28" spans="4:12" ht="52" customHeight="1" thickBot="1" x14ac:dyDescent="0.25">
      <c r="D28" s="47" t="s">
        <v>424</v>
      </c>
      <c r="E28" s="48" t="s">
        <v>425</v>
      </c>
      <c r="F28" s="48" t="s">
        <v>435</v>
      </c>
    </row>
    <row r="29" spans="4:12" ht="52" customHeight="1" thickBot="1" x14ac:dyDescent="0.25">
      <c r="D29" s="45" t="s">
        <v>426</v>
      </c>
      <c r="E29" s="46" t="s">
        <v>427</v>
      </c>
      <c r="F29" s="46" t="s">
        <v>434</v>
      </c>
    </row>
    <row r="30" spans="4:12" ht="45" customHeight="1" thickBot="1" x14ac:dyDescent="0.25">
      <c r="D30" s="47" t="s">
        <v>429</v>
      </c>
      <c r="E30" s="48" t="s">
        <v>428</v>
      </c>
      <c r="F30" s="48" t="s">
        <v>433</v>
      </c>
    </row>
    <row r="31" spans="4:12" ht="44" customHeight="1" thickBot="1" x14ac:dyDescent="0.25">
      <c r="D31" s="45" t="s">
        <v>430</v>
      </c>
      <c r="E31" s="46" t="s">
        <v>431</v>
      </c>
      <c r="F31" s="46" t="s">
        <v>432</v>
      </c>
    </row>
    <row r="32" spans="4:12" ht="52" thickBot="1" x14ac:dyDescent="0.25">
      <c r="D32" s="47" t="s">
        <v>469</v>
      </c>
      <c r="E32" s="48" t="s">
        <v>470</v>
      </c>
      <c r="F32" s="48" t="s">
        <v>462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2CB71-E2C2-4B49-B4B9-31D1A553FACF}">
  <dimension ref="C5:F31"/>
  <sheetViews>
    <sheetView topLeftCell="A24" zoomScale="125" workbookViewId="0">
      <selection activeCell="E7" sqref="E7:F27"/>
    </sheetView>
  </sheetViews>
  <sheetFormatPr baseColWidth="10" defaultRowHeight="16" x14ac:dyDescent="0.2"/>
  <cols>
    <col min="4" max="4" width="26.83203125" customWidth="1"/>
    <col min="5" max="5" width="19.1640625" customWidth="1"/>
    <col min="6" max="6" width="27.6640625" customWidth="1"/>
  </cols>
  <sheetData>
    <row r="5" spans="3:6" ht="17" thickBot="1" x14ac:dyDescent="0.25"/>
    <row r="6" spans="3:6" ht="35" thickBot="1" x14ac:dyDescent="0.25">
      <c r="C6" s="33" t="s">
        <v>479</v>
      </c>
      <c r="D6" s="44" t="s">
        <v>480</v>
      </c>
      <c r="E6" s="44" t="s">
        <v>481</v>
      </c>
    </row>
    <row r="7" spans="3:6" ht="18" thickBot="1" x14ac:dyDescent="0.25">
      <c r="C7" s="45">
        <v>1</v>
      </c>
      <c r="D7" s="46" t="s">
        <v>178</v>
      </c>
      <c r="E7" s="53" t="s">
        <v>199</v>
      </c>
      <c r="F7" s="46" t="s">
        <v>178</v>
      </c>
    </row>
    <row r="8" spans="3:6" ht="52" thickBot="1" x14ac:dyDescent="0.25">
      <c r="C8" s="47">
        <v>2</v>
      </c>
      <c r="D8" s="48" t="s">
        <v>179</v>
      </c>
      <c r="E8" s="54" t="s">
        <v>200</v>
      </c>
      <c r="F8" s="48" t="s">
        <v>179</v>
      </c>
    </row>
    <row r="9" spans="3:6" ht="52" thickBot="1" x14ac:dyDescent="0.25">
      <c r="C9" s="45">
        <v>3</v>
      </c>
      <c r="D9" s="46" t="s">
        <v>482</v>
      </c>
      <c r="E9" s="53" t="s">
        <v>67</v>
      </c>
      <c r="F9" s="46" t="s">
        <v>482</v>
      </c>
    </row>
    <row r="10" spans="3:6" ht="52" thickBot="1" x14ac:dyDescent="0.25">
      <c r="C10" s="47">
        <v>4</v>
      </c>
      <c r="D10" s="48" t="s">
        <v>483</v>
      </c>
      <c r="E10" s="54" t="s">
        <v>201</v>
      </c>
      <c r="F10" s="48" t="s">
        <v>483</v>
      </c>
    </row>
    <row r="11" spans="3:6" ht="69" thickBot="1" x14ac:dyDescent="0.25">
      <c r="C11" s="45">
        <v>5</v>
      </c>
      <c r="D11" s="46" t="s">
        <v>182</v>
      </c>
      <c r="E11" s="53" t="s">
        <v>201</v>
      </c>
      <c r="F11" s="46" t="s">
        <v>182</v>
      </c>
    </row>
    <row r="12" spans="3:6" ht="103" thickBot="1" x14ac:dyDescent="0.25">
      <c r="C12" s="47">
        <v>6</v>
      </c>
      <c r="D12" s="48" t="s">
        <v>183</v>
      </c>
      <c r="E12" s="54" t="s">
        <v>202</v>
      </c>
      <c r="F12" s="48" t="s">
        <v>183</v>
      </c>
    </row>
    <row r="13" spans="3:6" ht="52" thickBot="1" x14ac:dyDescent="0.25">
      <c r="C13" s="45">
        <v>7</v>
      </c>
      <c r="D13" s="46" t="s">
        <v>184</v>
      </c>
      <c r="E13" s="53" t="s">
        <v>203</v>
      </c>
      <c r="F13" s="46" t="s">
        <v>184</v>
      </c>
    </row>
    <row r="14" spans="3:6" ht="52" thickBot="1" x14ac:dyDescent="0.25">
      <c r="C14" s="47">
        <v>8</v>
      </c>
      <c r="D14" s="48" t="s">
        <v>185</v>
      </c>
      <c r="E14" s="54" t="s">
        <v>203</v>
      </c>
      <c r="F14" s="48" t="s">
        <v>185</v>
      </c>
    </row>
    <row r="15" spans="3:6" ht="69" thickBot="1" x14ac:dyDescent="0.25">
      <c r="C15" s="45">
        <v>9</v>
      </c>
      <c r="D15" s="46" t="s">
        <v>186</v>
      </c>
      <c r="E15" s="53" t="s">
        <v>203</v>
      </c>
      <c r="F15" s="46" t="s">
        <v>186</v>
      </c>
    </row>
    <row r="16" spans="3:6" ht="120" thickBot="1" x14ac:dyDescent="0.25">
      <c r="C16" s="47">
        <v>10</v>
      </c>
      <c r="D16" s="48" t="s">
        <v>187</v>
      </c>
      <c r="E16" s="54" t="s">
        <v>204</v>
      </c>
      <c r="F16" s="48" t="s">
        <v>187</v>
      </c>
    </row>
    <row r="17" spans="3:6" ht="52" thickBot="1" x14ac:dyDescent="0.25">
      <c r="C17" s="45">
        <v>11</v>
      </c>
      <c r="D17" s="46" t="s">
        <v>188</v>
      </c>
      <c r="E17" s="53" t="s">
        <v>205</v>
      </c>
      <c r="F17" s="46" t="s">
        <v>188</v>
      </c>
    </row>
    <row r="18" spans="3:6" ht="52" thickBot="1" x14ac:dyDescent="0.25">
      <c r="C18" s="47">
        <v>12</v>
      </c>
      <c r="D18" s="48" t="s">
        <v>189</v>
      </c>
      <c r="E18" s="54" t="s">
        <v>206</v>
      </c>
      <c r="F18" s="48" t="s">
        <v>189</v>
      </c>
    </row>
    <row r="19" spans="3:6" ht="52" thickBot="1" x14ac:dyDescent="0.25">
      <c r="C19" s="45">
        <v>13</v>
      </c>
      <c r="D19" s="46" t="s">
        <v>190</v>
      </c>
      <c r="E19" s="53" t="s">
        <v>207</v>
      </c>
      <c r="F19" s="46" t="s">
        <v>190</v>
      </c>
    </row>
    <row r="20" spans="3:6" ht="31" customHeight="1" thickBot="1" x14ac:dyDescent="0.25">
      <c r="C20" s="47">
        <v>14</v>
      </c>
      <c r="D20" s="48" t="s">
        <v>191</v>
      </c>
      <c r="E20" s="54" t="s">
        <v>208</v>
      </c>
      <c r="F20" s="48" t="s">
        <v>191</v>
      </c>
    </row>
    <row r="21" spans="3:6" ht="69" thickBot="1" x14ac:dyDescent="0.25">
      <c r="C21" s="45">
        <v>15</v>
      </c>
      <c r="D21" s="46" t="s">
        <v>192</v>
      </c>
      <c r="E21" s="53" t="s">
        <v>209</v>
      </c>
      <c r="F21" s="46" t="s">
        <v>192</v>
      </c>
    </row>
    <row r="22" spans="3:6" ht="103" thickBot="1" x14ac:dyDescent="0.25">
      <c r="C22" s="47">
        <v>16</v>
      </c>
      <c r="D22" s="48" t="s">
        <v>193</v>
      </c>
      <c r="E22" s="54" t="s">
        <v>210</v>
      </c>
      <c r="F22" s="48" t="s">
        <v>193</v>
      </c>
    </row>
    <row r="23" spans="3:6" ht="52" thickBot="1" x14ac:dyDescent="0.25">
      <c r="C23" s="45">
        <v>17</v>
      </c>
      <c r="D23" s="46" t="s">
        <v>194</v>
      </c>
      <c r="E23" s="53" t="s">
        <v>211</v>
      </c>
      <c r="F23" s="46" t="s">
        <v>194</v>
      </c>
    </row>
    <row r="24" spans="3:6" ht="86" thickBot="1" x14ac:dyDescent="0.25">
      <c r="C24" s="47">
        <v>18</v>
      </c>
      <c r="D24" s="48" t="s">
        <v>195</v>
      </c>
      <c r="E24" s="54" t="s">
        <v>212</v>
      </c>
      <c r="F24" s="48" t="s">
        <v>195</v>
      </c>
    </row>
    <row r="25" spans="3:6" ht="120" thickBot="1" x14ac:dyDescent="0.25">
      <c r="C25" s="45">
        <v>19</v>
      </c>
      <c r="D25" s="46" t="s">
        <v>196</v>
      </c>
      <c r="E25" s="53" t="s">
        <v>213</v>
      </c>
      <c r="F25" s="46" t="s">
        <v>196</v>
      </c>
    </row>
    <row r="26" spans="3:6" ht="35" thickBot="1" x14ac:dyDescent="0.25">
      <c r="C26" s="47">
        <v>20</v>
      </c>
      <c r="D26" s="48" t="s">
        <v>197</v>
      </c>
      <c r="E26" s="54" t="s">
        <v>214</v>
      </c>
      <c r="F26" s="48" t="s">
        <v>197</v>
      </c>
    </row>
    <row r="27" spans="3:6" ht="35" thickBot="1" x14ac:dyDescent="0.25">
      <c r="C27" s="45">
        <v>21</v>
      </c>
      <c r="D27" s="46" t="s">
        <v>198</v>
      </c>
      <c r="E27" s="53" t="s">
        <v>77</v>
      </c>
      <c r="F27" s="46" t="s">
        <v>198</v>
      </c>
    </row>
    <row r="28" spans="3:6" ht="17" thickBot="1" x14ac:dyDescent="0.25">
      <c r="C28" s="47"/>
      <c r="D28" s="48"/>
      <c r="E28" s="54"/>
    </row>
    <row r="29" spans="3:6" ht="17" thickBot="1" x14ac:dyDescent="0.25">
      <c r="C29" s="45"/>
      <c r="D29" s="46"/>
      <c r="E29" s="53"/>
    </row>
    <row r="30" spans="3:6" ht="17" thickBot="1" x14ac:dyDescent="0.25">
      <c r="C30" s="47"/>
      <c r="D30" s="48"/>
      <c r="E30" s="54"/>
    </row>
    <row r="31" spans="3:6" ht="17" thickBot="1" x14ac:dyDescent="0.25">
      <c r="C31" s="45"/>
      <c r="D31" s="46"/>
      <c r="E31" s="5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44DC5-C61A-2649-9FDA-01051A087F46}">
  <dimension ref="C4:J16"/>
  <sheetViews>
    <sheetView workbookViewId="0">
      <selection activeCell="C5" sqref="C5"/>
    </sheetView>
  </sheetViews>
  <sheetFormatPr baseColWidth="10" defaultRowHeight="16" x14ac:dyDescent="0.2"/>
  <cols>
    <col min="3" max="3" width="24.6640625" customWidth="1"/>
    <col min="4" max="4" width="33" customWidth="1"/>
    <col min="9" max="9" width="22.33203125" customWidth="1"/>
    <col min="10" max="10" width="29.6640625" customWidth="1"/>
  </cols>
  <sheetData>
    <row r="4" spans="3:10" ht="17" thickBot="1" x14ac:dyDescent="0.25"/>
    <row r="5" spans="3:10" ht="18" thickBot="1" x14ac:dyDescent="0.25">
      <c r="C5" s="33" t="s">
        <v>477</v>
      </c>
      <c r="D5" s="44" t="s">
        <v>124</v>
      </c>
      <c r="I5" s="33" t="s">
        <v>478</v>
      </c>
      <c r="J5" s="44" t="s">
        <v>124</v>
      </c>
    </row>
    <row r="6" spans="3:10" ht="120" thickBot="1" x14ac:dyDescent="0.25">
      <c r="C6" s="45" t="s">
        <v>437</v>
      </c>
      <c r="D6" s="46" t="s">
        <v>438</v>
      </c>
      <c r="I6" s="45" t="s">
        <v>437</v>
      </c>
      <c r="J6" s="46" t="s">
        <v>438</v>
      </c>
    </row>
    <row r="7" spans="3:10" ht="103" thickBot="1" x14ac:dyDescent="0.25">
      <c r="C7" s="47" t="s">
        <v>441</v>
      </c>
      <c r="D7" s="48" t="s">
        <v>440</v>
      </c>
      <c r="I7" s="47" t="s">
        <v>441</v>
      </c>
      <c r="J7" s="48" t="s">
        <v>440</v>
      </c>
    </row>
    <row r="8" spans="3:10" ht="120" thickBot="1" x14ac:dyDescent="0.25">
      <c r="C8" s="45" t="s">
        <v>443</v>
      </c>
      <c r="D8" s="46" t="s">
        <v>442</v>
      </c>
      <c r="I8" s="45" t="s">
        <v>443</v>
      </c>
      <c r="J8" s="46" t="s">
        <v>442</v>
      </c>
    </row>
    <row r="9" spans="3:10" ht="86" thickBot="1" x14ac:dyDescent="0.25">
      <c r="C9" s="47" t="s">
        <v>445</v>
      </c>
      <c r="D9" s="48" t="s">
        <v>444</v>
      </c>
      <c r="I9" s="47" t="s">
        <v>445</v>
      </c>
      <c r="J9" s="48" t="s">
        <v>444</v>
      </c>
    </row>
    <row r="10" spans="3:10" ht="103" thickBot="1" x14ac:dyDescent="0.25">
      <c r="C10" s="45" t="s">
        <v>447</v>
      </c>
      <c r="D10" s="46" t="s">
        <v>446</v>
      </c>
      <c r="I10" s="45" t="s">
        <v>447</v>
      </c>
      <c r="J10" s="46" t="s">
        <v>446</v>
      </c>
    </row>
    <row r="11" spans="3:10" ht="52" thickBot="1" x14ac:dyDescent="0.25">
      <c r="C11" s="47" t="s">
        <v>449</v>
      </c>
      <c r="D11" s="48" t="s">
        <v>448</v>
      </c>
      <c r="I11" s="47" t="s">
        <v>449</v>
      </c>
      <c r="J11" s="48" t="s">
        <v>448</v>
      </c>
    </row>
    <row r="12" spans="3:10" ht="120" thickBot="1" x14ac:dyDescent="0.25">
      <c r="C12" s="45" t="s">
        <v>451</v>
      </c>
      <c r="D12" s="46" t="s">
        <v>450</v>
      </c>
      <c r="I12" s="45" t="s">
        <v>451</v>
      </c>
      <c r="J12" s="46" t="s">
        <v>450</v>
      </c>
    </row>
    <row r="13" spans="3:10" ht="409.6" thickBot="1" x14ac:dyDescent="0.25">
      <c r="C13" s="47" t="s">
        <v>452</v>
      </c>
      <c r="D13" s="48" t="s">
        <v>453</v>
      </c>
      <c r="I13" s="47" t="s">
        <v>452</v>
      </c>
      <c r="J13" s="48" t="s">
        <v>453</v>
      </c>
    </row>
    <row r="14" spans="3:10" ht="69" thickBot="1" x14ac:dyDescent="0.25">
      <c r="C14" s="45" t="s">
        <v>454</v>
      </c>
      <c r="D14" s="46" t="s">
        <v>455</v>
      </c>
      <c r="I14" s="45" t="s">
        <v>454</v>
      </c>
      <c r="J14" s="46" t="s">
        <v>455</v>
      </c>
    </row>
    <row r="15" spans="3:10" ht="18" thickBot="1" x14ac:dyDescent="0.25">
      <c r="C15" s="47" t="s">
        <v>30</v>
      </c>
      <c r="D15" s="48" t="s">
        <v>456</v>
      </c>
      <c r="I15" s="47" t="s">
        <v>30</v>
      </c>
      <c r="J15" s="48" t="s">
        <v>456</v>
      </c>
    </row>
    <row r="16" spans="3:10" ht="171" thickBot="1" x14ac:dyDescent="0.25">
      <c r="C16" s="45" t="s">
        <v>458</v>
      </c>
      <c r="D16" s="46" t="s">
        <v>457</v>
      </c>
      <c r="I16" s="45" t="s">
        <v>458</v>
      </c>
      <c r="J16" s="46" t="s">
        <v>457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4A2EC-EB60-594C-908F-316D33FDB768}">
  <dimension ref="D3:F21"/>
  <sheetViews>
    <sheetView topLeftCell="A14" zoomScale="110" workbookViewId="0">
      <selection activeCell="D16" sqref="D16:E21"/>
    </sheetView>
  </sheetViews>
  <sheetFormatPr baseColWidth="10" defaultRowHeight="16" x14ac:dyDescent="0.2"/>
  <cols>
    <col min="4" max="4" width="21.1640625" customWidth="1"/>
    <col min="5" max="5" width="55" customWidth="1"/>
    <col min="6" max="6" width="21" customWidth="1"/>
  </cols>
  <sheetData>
    <row r="3" spans="4:6" ht="18" thickBot="1" x14ac:dyDescent="0.25">
      <c r="D3" s="40" t="s">
        <v>316</v>
      </c>
      <c r="E3" s="40" t="s">
        <v>317</v>
      </c>
      <c r="F3" s="41" t="s">
        <v>318</v>
      </c>
    </row>
    <row r="4" spans="4:6" ht="52" thickBot="1" x14ac:dyDescent="0.25">
      <c r="D4" s="36" t="s">
        <v>319</v>
      </c>
      <c r="E4" s="36" t="s">
        <v>320</v>
      </c>
      <c r="F4" s="39" t="s">
        <v>321</v>
      </c>
    </row>
    <row r="5" spans="4:6" ht="52" thickBot="1" x14ac:dyDescent="0.25">
      <c r="D5" s="36" t="s">
        <v>322</v>
      </c>
      <c r="E5" s="36" t="s">
        <v>323</v>
      </c>
      <c r="F5" s="39" t="s">
        <v>324</v>
      </c>
    </row>
    <row r="6" spans="4:6" ht="52" thickBot="1" x14ac:dyDescent="0.25">
      <c r="D6" s="36" t="s">
        <v>325</v>
      </c>
      <c r="E6" s="36" t="s">
        <v>326</v>
      </c>
      <c r="F6" s="39" t="s">
        <v>327</v>
      </c>
    </row>
    <row r="7" spans="4:6" ht="52" thickBot="1" x14ac:dyDescent="0.25">
      <c r="D7" s="36" t="s">
        <v>328</v>
      </c>
      <c r="E7" s="36" t="s">
        <v>330</v>
      </c>
      <c r="F7" s="39" t="s">
        <v>332</v>
      </c>
    </row>
    <row r="8" spans="4:6" ht="68" x14ac:dyDescent="0.2">
      <c r="D8" s="42" t="s">
        <v>329</v>
      </c>
      <c r="E8" s="42" t="s">
        <v>331</v>
      </c>
      <c r="F8" s="43" t="s">
        <v>333</v>
      </c>
    </row>
    <row r="10" spans="4:6" ht="17" thickBot="1" x14ac:dyDescent="0.25"/>
    <row r="11" spans="4:6" ht="18" thickBot="1" x14ac:dyDescent="0.25">
      <c r="D11" s="33" t="s">
        <v>334</v>
      </c>
      <c r="E11" s="34" t="s">
        <v>317</v>
      </c>
      <c r="F11" s="34" t="s">
        <v>318</v>
      </c>
    </row>
    <row r="12" spans="4:6" ht="52" thickBot="1" x14ac:dyDescent="0.25">
      <c r="D12" s="35" t="s">
        <v>335</v>
      </c>
      <c r="E12" s="36" t="s">
        <v>336</v>
      </c>
      <c r="F12" s="36" t="s">
        <v>337</v>
      </c>
    </row>
    <row r="13" spans="4:6" ht="52" thickBot="1" x14ac:dyDescent="0.25">
      <c r="D13" s="37" t="s">
        <v>338</v>
      </c>
      <c r="E13" s="38" t="s">
        <v>339</v>
      </c>
      <c r="F13" s="38" t="s">
        <v>340</v>
      </c>
    </row>
    <row r="15" spans="4:6" ht="17" thickBot="1" x14ac:dyDescent="0.25"/>
    <row r="16" spans="4:6" ht="18" thickBot="1" x14ac:dyDescent="0.25">
      <c r="D16" s="33" t="s">
        <v>341</v>
      </c>
      <c r="E16" s="44" t="s">
        <v>124</v>
      </c>
      <c r="F16" s="44" t="s">
        <v>342</v>
      </c>
    </row>
    <row r="17" spans="4:6" ht="69" thickBot="1" x14ac:dyDescent="0.25">
      <c r="D17" s="45" t="s">
        <v>343</v>
      </c>
      <c r="E17" s="46" t="s">
        <v>353</v>
      </c>
      <c r="F17" s="46" t="s">
        <v>351</v>
      </c>
    </row>
    <row r="18" spans="4:6" ht="101" customHeight="1" thickBot="1" x14ac:dyDescent="0.25">
      <c r="D18" s="47" t="s">
        <v>344</v>
      </c>
      <c r="E18" s="48" t="s">
        <v>352</v>
      </c>
      <c r="F18" s="48" t="s">
        <v>355</v>
      </c>
    </row>
    <row r="19" spans="4:6" ht="48" customHeight="1" thickBot="1" x14ac:dyDescent="0.25">
      <c r="D19" s="45" t="s">
        <v>345</v>
      </c>
      <c r="E19" s="46" t="s">
        <v>354</v>
      </c>
      <c r="F19" s="46" t="s">
        <v>356</v>
      </c>
    </row>
    <row r="20" spans="4:6" ht="44" customHeight="1" thickBot="1" x14ac:dyDescent="0.25">
      <c r="D20" s="47" t="s">
        <v>346</v>
      </c>
      <c r="E20" s="48" t="s">
        <v>347</v>
      </c>
      <c r="F20" s="48" t="s">
        <v>357</v>
      </c>
    </row>
    <row r="21" spans="4:6" ht="35" thickBot="1" x14ac:dyDescent="0.25">
      <c r="D21" s="45" t="s">
        <v>348</v>
      </c>
      <c r="E21" s="46" t="s">
        <v>349</v>
      </c>
      <c r="F21" s="46" t="s">
        <v>350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75890-C9B7-CB4B-8934-C72DFA7D1D69}">
  <dimension ref="E3:F14"/>
  <sheetViews>
    <sheetView zoomScale="125" workbookViewId="0">
      <selection activeCell="E4" sqref="E4:F12"/>
    </sheetView>
  </sheetViews>
  <sheetFormatPr baseColWidth="10" defaultRowHeight="16" x14ac:dyDescent="0.2"/>
  <cols>
    <col min="5" max="5" width="18" customWidth="1"/>
    <col min="6" max="6" width="63.5" customWidth="1"/>
  </cols>
  <sheetData>
    <row r="3" spans="5:6" ht="17" thickBot="1" x14ac:dyDescent="0.25"/>
    <row r="4" spans="5:6" ht="18" thickBot="1" x14ac:dyDescent="0.25">
      <c r="E4" s="33" t="s">
        <v>472</v>
      </c>
      <c r="F4" s="44" t="s">
        <v>124</v>
      </c>
    </row>
    <row r="5" spans="5:6" ht="52" thickBot="1" x14ac:dyDescent="0.25">
      <c r="E5" s="55" t="s">
        <v>471</v>
      </c>
      <c r="F5" s="46" t="s">
        <v>473</v>
      </c>
    </row>
    <row r="6" spans="5:6" ht="35" thickBot="1" x14ac:dyDescent="0.25">
      <c r="E6" s="56"/>
      <c r="F6" s="48" t="s">
        <v>474</v>
      </c>
    </row>
    <row r="7" spans="5:6" ht="35" thickBot="1" x14ac:dyDescent="0.25">
      <c r="E7" s="56"/>
      <c r="F7" s="46" t="s">
        <v>475</v>
      </c>
    </row>
    <row r="8" spans="5:6" ht="35" thickBot="1" x14ac:dyDescent="0.25">
      <c r="E8" s="56"/>
      <c r="F8" s="48" t="s">
        <v>476</v>
      </c>
    </row>
    <row r="9" spans="5:6" ht="35" thickBot="1" x14ac:dyDescent="0.25">
      <c r="E9" s="57"/>
      <c r="F9" s="46" t="s">
        <v>485</v>
      </c>
    </row>
    <row r="10" spans="5:6" ht="57" customHeight="1" thickBot="1" x14ac:dyDescent="0.25">
      <c r="E10" s="58" t="s">
        <v>471</v>
      </c>
      <c r="F10" s="48" t="s">
        <v>486</v>
      </c>
    </row>
    <row r="11" spans="5:6" ht="35" thickBot="1" x14ac:dyDescent="0.25">
      <c r="E11" s="59"/>
      <c r="F11" s="46" t="s">
        <v>488</v>
      </c>
    </row>
    <row r="12" spans="5:6" ht="52" thickBot="1" x14ac:dyDescent="0.25">
      <c r="E12" s="60"/>
      <c r="F12" s="48" t="s">
        <v>487</v>
      </c>
    </row>
    <row r="13" spans="5:6" ht="35" thickBot="1" x14ac:dyDescent="0.25">
      <c r="E13" s="48"/>
      <c r="F13" s="48" t="s">
        <v>347</v>
      </c>
    </row>
    <row r="14" spans="5:6" ht="35" thickBot="1" x14ac:dyDescent="0.25">
      <c r="E14" s="48"/>
      <c r="F14" s="46" t="s">
        <v>349</v>
      </c>
    </row>
  </sheetData>
  <mergeCells count="2">
    <mergeCell ref="E5:E9"/>
    <mergeCell ref="E10:E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BDEFE-468F-2747-9BA7-A99C447DAC81}">
  <dimension ref="E5:K32"/>
  <sheetViews>
    <sheetView topLeftCell="B6" zoomScale="140" workbookViewId="0">
      <selection activeCell="E7" sqref="E7:I12"/>
    </sheetView>
  </sheetViews>
  <sheetFormatPr baseColWidth="10" defaultRowHeight="16" x14ac:dyDescent="0.2"/>
  <cols>
    <col min="5" max="5" width="18" customWidth="1"/>
    <col min="6" max="6" width="22.33203125" customWidth="1"/>
    <col min="7" max="7" width="18.5" customWidth="1"/>
    <col min="8" max="8" width="16.5" customWidth="1"/>
    <col min="9" max="9" width="16" customWidth="1"/>
    <col min="10" max="10" width="22.5" customWidth="1"/>
    <col min="11" max="11" width="18.33203125" customWidth="1"/>
  </cols>
  <sheetData>
    <row r="5" spans="5:9" ht="17" thickBot="1" x14ac:dyDescent="0.25">
      <c r="E5">
        <v>8.1</v>
      </c>
    </row>
    <row r="6" spans="5:9" ht="35" thickBot="1" x14ac:dyDescent="0.25">
      <c r="E6" s="33" t="s">
        <v>79</v>
      </c>
      <c r="F6" s="44" t="s">
        <v>50</v>
      </c>
      <c r="G6" s="44" t="s">
        <v>80</v>
      </c>
      <c r="H6" s="33" t="s">
        <v>81</v>
      </c>
      <c r="I6" s="44" t="s">
        <v>82</v>
      </c>
    </row>
    <row r="7" spans="5:9" ht="35" thickBot="1" x14ac:dyDescent="0.25">
      <c r="E7" s="45" t="s">
        <v>361</v>
      </c>
      <c r="F7" s="46" t="s">
        <v>402</v>
      </c>
      <c r="G7" s="46">
        <v>5</v>
      </c>
      <c r="H7" s="45">
        <v>5</v>
      </c>
      <c r="I7" s="46" t="s">
        <v>87</v>
      </c>
    </row>
    <row r="8" spans="5:9" ht="35" thickBot="1" x14ac:dyDescent="0.25">
      <c r="E8" s="47" t="s">
        <v>364</v>
      </c>
      <c r="F8" s="48" t="s">
        <v>403</v>
      </c>
      <c r="G8" s="48">
        <v>4</v>
      </c>
      <c r="H8" s="47">
        <v>4</v>
      </c>
      <c r="I8" s="48" t="s">
        <v>87</v>
      </c>
    </row>
    <row r="9" spans="5:9" ht="35" thickBot="1" x14ac:dyDescent="0.25">
      <c r="E9" s="45" t="s">
        <v>358</v>
      </c>
      <c r="F9" s="46" t="s">
        <v>404</v>
      </c>
      <c r="G9" s="46">
        <v>4</v>
      </c>
      <c r="H9" s="45">
        <v>4</v>
      </c>
      <c r="I9" s="46" t="s">
        <v>92</v>
      </c>
    </row>
    <row r="10" spans="5:9" ht="35" thickBot="1" x14ac:dyDescent="0.25">
      <c r="E10" s="47" t="s">
        <v>93</v>
      </c>
      <c r="F10" s="48" t="s">
        <v>94</v>
      </c>
      <c r="G10" s="48">
        <v>3</v>
      </c>
      <c r="H10" s="47">
        <v>3</v>
      </c>
      <c r="I10" s="48" t="s">
        <v>87</v>
      </c>
    </row>
    <row r="11" spans="5:9" ht="35" thickBot="1" x14ac:dyDescent="0.25">
      <c r="E11" s="45" t="s">
        <v>95</v>
      </c>
      <c r="F11" s="46" t="s">
        <v>96</v>
      </c>
      <c r="G11" s="46">
        <v>2</v>
      </c>
      <c r="H11" s="45">
        <v>2</v>
      </c>
      <c r="I11" s="46" t="s">
        <v>87</v>
      </c>
    </row>
    <row r="12" spans="5:9" ht="35" thickBot="1" x14ac:dyDescent="0.25">
      <c r="E12" s="47" t="s">
        <v>405</v>
      </c>
      <c r="F12" s="48" t="s">
        <v>406</v>
      </c>
      <c r="G12" s="48">
        <v>4</v>
      </c>
      <c r="H12" s="47">
        <v>4</v>
      </c>
      <c r="I12" s="48" t="s">
        <v>87</v>
      </c>
    </row>
    <row r="13" spans="5:9" ht="86" thickBot="1" x14ac:dyDescent="0.25">
      <c r="E13" s="45" t="s">
        <v>407</v>
      </c>
      <c r="F13" s="46" t="s">
        <v>408</v>
      </c>
      <c r="G13" s="46">
        <v>3</v>
      </c>
      <c r="H13" s="45">
        <v>3</v>
      </c>
      <c r="I13" s="46" t="s">
        <v>92</v>
      </c>
    </row>
    <row r="21" spans="5:11" x14ac:dyDescent="0.2">
      <c r="E21">
        <v>8.1999999999999993</v>
      </c>
    </row>
    <row r="22" spans="5:11" ht="17" thickBot="1" x14ac:dyDescent="0.25"/>
    <row r="23" spans="5:11" ht="35" thickBot="1" x14ac:dyDescent="0.25">
      <c r="E23" s="33" t="s">
        <v>79</v>
      </c>
      <c r="F23" s="44" t="s">
        <v>50</v>
      </c>
      <c r="G23" s="44" t="s">
        <v>97</v>
      </c>
      <c r="H23" s="33" t="s">
        <v>360</v>
      </c>
      <c r="I23" s="44" t="s">
        <v>99</v>
      </c>
      <c r="J23" s="44" t="s">
        <v>100</v>
      </c>
      <c r="K23" s="44" t="s">
        <v>101</v>
      </c>
    </row>
    <row r="24" spans="5:11" ht="73" customHeight="1" thickBot="1" x14ac:dyDescent="0.25">
      <c r="E24" s="45" t="s">
        <v>361</v>
      </c>
      <c r="F24" s="46" t="s">
        <v>365</v>
      </c>
      <c r="G24" s="46" t="s">
        <v>366</v>
      </c>
      <c r="H24" s="45" t="s">
        <v>381</v>
      </c>
      <c r="I24" s="46" t="s">
        <v>386</v>
      </c>
      <c r="J24" s="46" t="s">
        <v>390</v>
      </c>
      <c r="K24" s="46" t="s">
        <v>391</v>
      </c>
    </row>
    <row r="25" spans="5:11" ht="73" customHeight="1" thickBot="1" x14ac:dyDescent="0.25">
      <c r="E25" s="47" t="s">
        <v>308</v>
      </c>
      <c r="F25" s="48" t="s">
        <v>367</v>
      </c>
      <c r="G25" s="48" t="s">
        <v>374</v>
      </c>
      <c r="H25" s="47" t="s">
        <v>381</v>
      </c>
      <c r="I25" s="48" t="s">
        <v>387</v>
      </c>
      <c r="J25" s="48" t="s">
        <v>392</v>
      </c>
      <c r="K25" s="48" t="s">
        <v>395</v>
      </c>
    </row>
    <row r="26" spans="5:11" ht="73" customHeight="1" thickBot="1" x14ac:dyDescent="0.25">
      <c r="E26" s="45" t="s">
        <v>364</v>
      </c>
      <c r="F26" s="46" t="s">
        <v>368</v>
      </c>
      <c r="G26" s="46" t="s">
        <v>375</v>
      </c>
      <c r="H26" s="45" t="s">
        <v>384</v>
      </c>
      <c r="I26" s="46" t="s">
        <v>388</v>
      </c>
      <c r="J26" s="46" t="s">
        <v>393</v>
      </c>
      <c r="K26" s="46" t="s">
        <v>399</v>
      </c>
    </row>
    <row r="27" spans="5:11" ht="73" customHeight="1" thickBot="1" x14ac:dyDescent="0.25">
      <c r="E27" s="47" t="s">
        <v>362</v>
      </c>
      <c r="F27" s="48" t="s">
        <v>369</v>
      </c>
      <c r="G27" s="48" t="s">
        <v>376</v>
      </c>
      <c r="H27" s="47" t="s">
        <v>385</v>
      </c>
      <c r="I27" s="48" t="s">
        <v>389</v>
      </c>
      <c r="J27" s="48" t="s">
        <v>394</v>
      </c>
      <c r="K27" s="48" t="s">
        <v>401</v>
      </c>
    </row>
    <row r="28" spans="5:11" ht="73" customHeight="1" thickBot="1" x14ac:dyDescent="0.25">
      <c r="E28" s="45" t="s">
        <v>93</v>
      </c>
      <c r="F28" s="46" t="s">
        <v>370</v>
      </c>
      <c r="G28" s="46" t="s">
        <v>375</v>
      </c>
      <c r="H28" s="45" t="s">
        <v>384</v>
      </c>
      <c r="I28" s="46" t="s">
        <v>388</v>
      </c>
      <c r="J28" s="46" t="s">
        <v>393</v>
      </c>
      <c r="K28" s="46" t="s">
        <v>400</v>
      </c>
    </row>
    <row r="29" spans="5:11" ht="73" customHeight="1" thickBot="1" x14ac:dyDescent="0.25">
      <c r="E29" s="47" t="s">
        <v>359</v>
      </c>
      <c r="F29" s="48" t="s">
        <v>396</v>
      </c>
      <c r="G29" s="48" t="s">
        <v>377</v>
      </c>
      <c r="H29" s="47" t="s">
        <v>381</v>
      </c>
      <c r="I29" s="48" t="s">
        <v>387</v>
      </c>
      <c r="J29" s="48" t="s">
        <v>392</v>
      </c>
      <c r="K29" s="48" t="s">
        <v>308</v>
      </c>
    </row>
    <row r="30" spans="5:11" ht="73" customHeight="1" thickBot="1" x14ac:dyDescent="0.25">
      <c r="E30" s="45" t="s">
        <v>0</v>
      </c>
      <c r="F30" s="46" t="s">
        <v>371</v>
      </c>
      <c r="G30" s="46" t="s">
        <v>378</v>
      </c>
      <c r="H30" s="45" t="s">
        <v>381</v>
      </c>
      <c r="I30" s="46" t="s">
        <v>387</v>
      </c>
      <c r="J30" s="46" t="s">
        <v>392</v>
      </c>
      <c r="K30" s="46" t="s">
        <v>395</v>
      </c>
    </row>
    <row r="31" spans="5:11" ht="73" customHeight="1" thickBot="1" x14ac:dyDescent="0.25">
      <c r="E31" s="47" t="s">
        <v>363</v>
      </c>
      <c r="F31" s="48" t="s">
        <v>372</v>
      </c>
      <c r="G31" s="48" t="s">
        <v>379</v>
      </c>
      <c r="H31" s="47" t="s">
        <v>383</v>
      </c>
      <c r="I31" s="48" t="s">
        <v>389</v>
      </c>
      <c r="J31" s="48" t="s">
        <v>397</v>
      </c>
      <c r="K31" s="48" t="s">
        <v>395</v>
      </c>
    </row>
    <row r="32" spans="5:11" ht="73" customHeight="1" thickBot="1" x14ac:dyDescent="0.25">
      <c r="E32" s="45" t="s">
        <v>335</v>
      </c>
      <c r="F32" s="46" t="s">
        <v>373</v>
      </c>
      <c r="G32" s="46" t="s">
        <v>380</v>
      </c>
      <c r="H32" s="45" t="s">
        <v>382</v>
      </c>
      <c r="I32" s="46" t="s">
        <v>389</v>
      </c>
      <c r="J32" s="48" t="s">
        <v>398</v>
      </c>
      <c r="K32" s="46" t="s">
        <v>401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3343-ACD6-544A-A480-7B1D59DCD98F}">
  <dimension ref="D2:G40"/>
  <sheetViews>
    <sheetView tabSelected="1" topLeftCell="A17" zoomScale="119" workbookViewId="0">
      <selection activeCell="E25" sqref="E25"/>
    </sheetView>
  </sheetViews>
  <sheetFormatPr baseColWidth="10" defaultRowHeight="16" x14ac:dyDescent="0.2"/>
  <cols>
    <col min="4" max="4" width="21" customWidth="1"/>
    <col min="5" max="5" width="74" customWidth="1"/>
  </cols>
  <sheetData>
    <row r="2" spans="4:5" ht="17" thickBot="1" x14ac:dyDescent="0.25"/>
    <row r="3" spans="4:5" ht="46" customHeight="1" thickBot="1" x14ac:dyDescent="0.25">
      <c r="D3" s="77" t="s">
        <v>489</v>
      </c>
      <c r="E3" s="78" t="s">
        <v>490</v>
      </c>
    </row>
    <row r="4" spans="4:5" ht="39" thickBot="1" x14ac:dyDescent="0.25">
      <c r="D4" s="67" t="s">
        <v>491</v>
      </c>
      <c r="E4" s="66" t="s">
        <v>492</v>
      </c>
    </row>
    <row r="5" spans="4:5" ht="39" customHeight="1" thickBot="1" x14ac:dyDescent="0.25">
      <c r="D5" s="61" t="s">
        <v>308</v>
      </c>
      <c r="E5" s="65" t="s">
        <v>484</v>
      </c>
    </row>
    <row r="6" spans="4:5" ht="134" thickBot="1" x14ac:dyDescent="0.25">
      <c r="D6" s="67" t="s">
        <v>493</v>
      </c>
      <c r="E6" s="64" t="s">
        <v>494</v>
      </c>
    </row>
    <row r="7" spans="4:5" ht="399" thickBot="1" x14ac:dyDescent="0.25">
      <c r="D7" s="61" t="s">
        <v>495</v>
      </c>
      <c r="E7" s="62" t="s">
        <v>496</v>
      </c>
    </row>
    <row r="8" spans="4:5" ht="39" thickBot="1" x14ac:dyDescent="0.25">
      <c r="D8" s="63" t="s">
        <v>405</v>
      </c>
      <c r="E8" s="64" t="s">
        <v>406</v>
      </c>
    </row>
    <row r="13" spans="4:5" ht="305" thickBot="1" x14ac:dyDescent="0.25">
      <c r="D13" s="61"/>
      <c r="E13" s="62" t="s">
        <v>497</v>
      </c>
    </row>
    <row r="14" spans="4:5" ht="39" thickBot="1" x14ac:dyDescent="0.25">
      <c r="D14" s="67" t="s">
        <v>498</v>
      </c>
      <c r="E14" s="66" t="s">
        <v>499</v>
      </c>
    </row>
    <row r="15" spans="4:5" ht="227" customHeight="1" x14ac:dyDescent="0.2">
      <c r="D15" s="68" t="s">
        <v>500</v>
      </c>
      <c r="E15" s="68" t="s">
        <v>501</v>
      </c>
    </row>
    <row r="16" spans="4:5" ht="272" customHeight="1" thickBot="1" x14ac:dyDescent="0.25">
      <c r="D16" s="57"/>
      <c r="E16" s="57"/>
    </row>
    <row r="17" spans="4:7" ht="96" thickBot="1" x14ac:dyDescent="0.25">
      <c r="D17" s="70" t="s">
        <v>502</v>
      </c>
      <c r="E17" s="69" t="s">
        <v>503</v>
      </c>
    </row>
    <row r="18" spans="4:7" ht="19" x14ac:dyDescent="0.2">
      <c r="D18" s="68" t="s">
        <v>176</v>
      </c>
      <c r="E18" s="71" t="str">
        <f>F18 &amp; "                            " &amp; G18</f>
        <v>Date                            Milestones</v>
      </c>
      <c r="F18" t="s">
        <v>177</v>
      </c>
      <c r="G18" t="s">
        <v>176</v>
      </c>
    </row>
    <row r="19" spans="4:7" ht="19" x14ac:dyDescent="0.2">
      <c r="D19" s="75"/>
      <c r="E19" s="72" t="str">
        <f>F19 &amp; "         " &amp; G19</f>
        <v xml:space="preserve">12 March 2025         Project start </v>
      </c>
      <c r="F19" t="s">
        <v>199</v>
      </c>
      <c r="G19" t="s">
        <v>178</v>
      </c>
    </row>
    <row r="20" spans="4:7" ht="19" x14ac:dyDescent="0.2">
      <c r="D20" s="75"/>
      <c r="E20" s="73" t="str">
        <f>F20 &amp; "         " &amp; G20</f>
        <v>14 March 2025         Completion of Project Vision</v>
      </c>
      <c r="F20" t="s">
        <v>200</v>
      </c>
      <c r="G20" t="s">
        <v>179</v>
      </c>
    </row>
    <row r="21" spans="4:7" ht="19" x14ac:dyDescent="0.2">
      <c r="D21" s="75"/>
      <c r="E21" s="72" t="str">
        <f>F21 &amp; "         " &amp; G21</f>
        <v>25 March 2025         Preparation for Sprint 1 done</v>
      </c>
      <c r="F21" t="s">
        <v>67</v>
      </c>
      <c r="G21" t="s">
        <v>482</v>
      </c>
    </row>
    <row r="22" spans="4:7" ht="19" x14ac:dyDescent="0.2">
      <c r="D22" s="75"/>
      <c r="E22" s="73" t="str">
        <f>F22 &amp; "           " &amp; G22</f>
        <v>14 April 2025           Completion of UI/UX flows</v>
      </c>
      <c r="F22" t="s">
        <v>201</v>
      </c>
      <c r="G22" t="s">
        <v>483</v>
      </c>
    </row>
    <row r="23" spans="4:7" ht="19" x14ac:dyDescent="0.2">
      <c r="D23" s="75"/>
      <c r="E23" s="72" t="str">
        <f>F23 &amp; "           " &amp; G23</f>
        <v>14 April 2025           Completion of Emergency Room</v>
      </c>
      <c r="F23" t="s">
        <v>201</v>
      </c>
      <c r="G23" t="s">
        <v>182</v>
      </c>
    </row>
    <row r="24" spans="4:7" ht="19" x14ac:dyDescent="0.2">
      <c r="D24" s="75"/>
      <c r="E24" s="73" t="str">
        <f>F24 &amp; "           " &amp; G24</f>
        <v>25 April 2025           Completion of Deployment to Test Environment</v>
      </c>
      <c r="F24" t="s">
        <v>202</v>
      </c>
      <c r="G24" t="s">
        <v>183</v>
      </c>
    </row>
    <row r="25" spans="4:7" ht="19" x14ac:dyDescent="0.2">
      <c r="D25" s="75"/>
      <c r="E25" s="72" t="str">
        <f>F25 &amp; "           " &amp; G25</f>
        <v>29 April 2025           Completion of lecturer dashboard</v>
      </c>
      <c r="F25" t="s">
        <v>203</v>
      </c>
      <c r="G25" t="s">
        <v>184</v>
      </c>
    </row>
    <row r="26" spans="4:7" ht="19" x14ac:dyDescent="0.2">
      <c r="D26" s="75"/>
      <c r="E26" s="73" t="str">
        <f>F26 &amp; "           " &amp; G26</f>
        <v>29 April 2025           Completion of LMS integration</v>
      </c>
      <c r="F26" t="s">
        <v>203</v>
      </c>
      <c r="G26" t="s">
        <v>185</v>
      </c>
    </row>
    <row r="27" spans="4:7" ht="19" x14ac:dyDescent="0.2">
      <c r="D27" s="75"/>
      <c r="E27" s="72" t="str">
        <f>F27 &amp; "           " &amp; G27</f>
        <v>29 April 2025           Completion of multi-user capabilities</v>
      </c>
      <c r="F27" t="s">
        <v>203</v>
      </c>
      <c r="G27" t="s">
        <v>186</v>
      </c>
    </row>
    <row r="28" spans="4:7" ht="37" customHeight="1" x14ac:dyDescent="0.2">
      <c r="D28" s="75"/>
      <c r="E28" s="73" t="str">
        <f>F28 &amp; "              " &amp; G28</f>
        <v>8 May 2025              Completion of User Training and lecture to students and lecturers</v>
      </c>
      <c r="F28" t="s">
        <v>204</v>
      </c>
      <c r="G28" t="s">
        <v>187</v>
      </c>
    </row>
    <row r="29" spans="4:7" ht="19" x14ac:dyDescent="0.2">
      <c r="D29" s="75"/>
      <c r="E29" s="72" t="str">
        <f>F29 &amp; "            " &amp; G29</f>
        <v>12 May 2025            Completion of Intensive Care Unit</v>
      </c>
      <c r="F29" t="s">
        <v>205</v>
      </c>
      <c r="G29" t="s">
        <v>188</v>
      </c>
    </row>
    <row r="30" spans="4:7" ht="19" x14ac:dyDescent="0.2">
      <c r="D30" s="75"/>
      <c r="E30" s="73" t="str">
        <f>F30 &amp; "            " &amp; G30</f>
        <v>21 May 2025            Deployment to production</v>
      </c>
      <c r="F30" t="s">
        <v>206</v>
      </c>
      <c r="G30" t="s">
        <v>189</v>
      </c>
    </row>
    <row r="31" spans="4:7" ht="19" x14ac:dyDescent="0.2">
      <c r="D31" s="75"/>
      <c r="E31" s="72" t="str">
        <f>F31 &amp; "            " &amp; G31</f>
        <v>29 May 2025            Completion of Medical Ward</v>
      </c>
      <c r="F31" t="s">
        <v>207</v>
      </c>
      <c r="G31" t="s">
        <v>190</v>
      </c>
    </row>
    <row r="32" spans="4:7" ht="19" x14ac:dyDescent="0.2">
      <c r="D32" s="75"/>
      <c r="E32" s="73" t="str">
        <f>F32 &amp; "              " &amp; G32</f>
        <v>6 June 2025              Completion of Operating Room</v>
      </c>
      <c r="F32" t="s">
        <v>208</v>
      </c>
      <c r="G32" t="s">
        <v>191</v>
      </c>
    </row>
    <row r="33" spans="4:7" ht="19" x14ac:dyDescent="0.2">
      <c r="D33" s="75"/>
      <c r="E33" s="72" t="str">
        <f>F33 &amp; "            " &amp; G33</f>
        <v>16 June 2025            Completion of Maternity Care</v>
      </c>
      <c r="F33" t="s">
        <v>209</v>
      </c>
      <c r="G33" t="s">
        <v>192</v>
      </c>
    </row>
    <row r="34" spans="4:7" ht="19" x14ac:dyDescent="0.2">
      <c r="D34" s="75"/>
      <c r="E34" s="73" t="str">
        <f>F34 &amp; "            " &amp; G34</f>
        <v>24 June 2025            Completion of Behavioral and Mental Health Room</v>
      </c>
      <c r="F34" t="s">
        <v>210</v>
      </c>
      <c r="G34" t="s">
        <v>193</v>
      </c>
    </row>
    <row r="35" spans="4:7" ht="19" x14ac:dyDescent="0.2">
      <c r="D35" s="75"/>
      <c r="E35" s="72" t="str">
        <f>F35 &amp; "               " &amp; G35</f>
        <v>2 July 2025               Completion of Family Room</v>
      </c>
      <c r="F35" t="s">
        <v>211</v>
      </c>
      <c r="G35" t="s">
        <v>194</v>
      </c>
    </row>
    <row r="36" spans="4:7" ht="19" x14ac:dyDescent="0.2">
      <c r="D36" s="75"/>
      <c r="E36" s="73" t="str">
        <f>F36 &amp; "             " &amp; G36</f>
        <v>10 July 2025             Completion of Neonatal Intensive Care Unit (NICU)</v>
      </c>
      <c r="F36" t="s">
        <v>212</v>
      </c>
      <c r="G36" t="s">
        <v>195</v>
      </c>
    </row>
    <row r="37" spans="4:7" ht="38" x14ac:dyDescent="0.2">
      <c r="D37" s="75"/>
      <c r="E37" s="72" t="str">
        <f>F37 &amp; "             " &amp; G37</f>
        <v>15 July 2025             Completion of Manual and User Training to Students and Lecturers</v>
      </c>
      <c r="F37" t="s">
        <v>213</v>
      </c>
      <c r="G37" t="s">
        <v>196</v>
      </c>
    </row>
    <row r="38" spans="4:7" ht="19" x14ac:dyDescent="0.2">
      <c r="D38" s="75"/>
      <c r="E38" s="73" t="str">
        <f>F38 &amp; "             " &amp; G38</f>
        <v>18 July 2025             Deploy to Production</v>
      </c>
      <c r="F38" t="s">
        <v>214</v>
      </c>
      <c r="G38" t="s">
        <v>197</v>
      </c>
    </row>
    <row r="39" spans="4:7" ht="20" thickBot="1" x14ac:dyDescent="0.25">
      <c r="D39" s="76"/>
      <c r="E39" s="74" t="str">
        <f>F39 &amp; "             " &amp; G39</f>
        <v>23 July 2025             Project Closure</v>
      </c>
      <c r="F39" t="s">
        <v>77</v>
      </c>
      <c r="G39" t="s">
        <v>198</v>
      </c>
    </row>
    <row r="40" spans="4:7" ht="115" thickBot="1" x14ac:dyDescent="0.25">
      <c r="D40" s="79" t="s">
        <v>504</v>
      </c>
      <c r="E40" s="80" t="s">
        <v>505</v>
      </c>
    </row>
  </sheetData>
  <mergeCells count="3">
    <mergeCell ref="E15:E16"/>
    <mergeCell ref="D15:D16"/>
    <mergeCell ref="D18:D3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5AD18-C293-7C42-8879-2422A824DFB9}">
  <dimension ref="E1:J18"/>
  <sheetViews>
    <sheetView topLeftCell="H14" zoomScale="125" zoomScaleNormal="125" workbookViewId="0">
      <selection activeCell="I16" sqref="I16:J17"/>
    </sheetView>
  </sheetViews>
  <sheetFormatPr baseColWidth="10" defaultRowHeight="16" x14ac:dyDescent="0.2"/>
  <cols>
    <col min="9" max="9" width="27.33203125" customWidth="1"/>
    <col min="10" max="10" width="35.33203125" customWidth="1"/>
  </cols>
  <sheetData>
    <row r="1" spans="5:10" ht="18" thickBot="1" x14ac:dyDescent="0.25">
      <c r="I1" s="33" t="s">
        <v>238</v>
      </c>
      <c r="J1" s="44" t="s">
        <v>239</v>
      </c>
    </row>
    <row r="2" spans="5:10" ht="188" thickBot="1" x14ac:dyDescent="0.25">
      <c r="I2" s="45" t="s">
        <v>242</v>
      </c>
      <c r="J2" s="46" t="s">
        <v>240</v>
      </c>
    </row>
    <row r="3" spans="5:10" ht="52" thickBot="1" x14ac:dyDescent="0.25">
      <c r="I3" s="47" t="s">
        <v>243</v>
      </c>
      <c r="J3" s="48" t="s">
        <v>246</v>
      </c>
    </row>
    <row r="4" spans="5:10" ht="86" thickBot="1" x14ac:dyDescent="0.25">
      <c r="I4" s="45" t="s">
        <v>241</v>
      </c>
      <c r="J4" s="46" t="s">
        <v>247</v>
      </c>
    </row>
    <row r="5" spans="5:10" ht="69" thickBot="1" x14ac:dyDescent="0.25">
      <c r="I5" s="47" t="s">
        <v>244</v>
      </c>
      <c r="J5" s="48" t="s">
        <v>245</v>
      </c>
    </row>
    <row r="6" spans="5:10" ht="52" thickBot="1" x14ac:dyDescent="0.25">
      <c r="I6" s="45" t="s">
        <v>249</v>
      </c>
      <c r="J6" s="46" t="s">
        <v>248</v>
      </c>
    </row>
    <row r="7" spans="5:10" ht="69" thickBot="1" x14ac:dyDescent="0.25">
      <c r="I7" s="47" t="s">
        <v>250</v>
      </c>
      <c r="J7" s="48" t="s">
        <v>251</v>
      </c>
    </row>
    <row r="8" spans="5:10" ht="52" thickBot="1" x14ac:dyDescent="0.25">
      <c r="I8" s="45" t="s">
        <v>252</v>
      </c>
      <c r="J8" s="46" t="s">
        <v>253</v>
      </c>
    </row>
    <row r="9" spans="5:10" ht="52" thickBot="1" x14ac:dyDescent="0.25">
      <c r="I9" s="47" t="s">
        <v>254</v>
      </c>
      <c r="J9" s="48" t="s">
        <v>255</v>
      </c>
    </row>
    <row r="14" spans="5:10" ht="17" thickBot="1" x14ac:dyDescent="0.25"/>
    <row r="15" spans="5:10" ht="31" thickBot="1" x14ac:dyDescent="0.25">
      <c r="E15" s="22" t="s">
        <v>238</v>
      </c>
      <c r="F15" s="23" t="s">
        <v>239</v>
      </c>
      <c r="I15" s="33" t="s">
        <v>238</v>
      </c>
      <c r="J15" s="44" t="s">
        <v>239</v>
      </c>
    </row>
    <row r="16" spans="5:10" ht="111" customHeight="1" thickBot="1" x14ac:dyDescent="0.25">
      <c r="E16" s="24"/>
      <c r="F16" s="25"/>
      <c r="I16" s="45" t="s">
        <v>250</v>
      </c>
      <c r="J16" s="46" t="s">
        <v>251</v>
      </c>
    </row>
    <row r="17" spans="9:10" ht="52" thickBot="1" x14ac:dyDescent="0.25">
      <c r="I17" s="47" t="s">
        <v>252</v>
      </c>
      <c r="J17" s="48" t="s">
        <v>253</v>
      </c>
    </row>
    <row r="18" spans="9:10" ht="52" thickBot="1" x14ac:dyDescent="0.25">
      <c r="I18" s="45" t="s">
        <v>254</v>
      </c>
      <c r="J18" s="46" t="s">
        <v>255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11500-75D5-C74A-8495-FB947A6DE01D}">
  <dimension ref="D6:I15"/>
  <sheetViews>
    <sheetView topLeftCell="A8" zoomScale="135" workbookViewId="0">
      <selection activeCell="G8" sqref="G8:H11"/>
    </sheetView>
  </sheetViews>
  <sheetFormatPr baseColWidth="10" defaultRowHeight="16" x14ac:dyDescent="0.2"/>
  <cols>
    <col min="7" max="7" width="16.33203125" customWidth="1"/>
    <col min="8" max="8" width="45.33203125" customWidth="1"/>
    <col min="9" max="9" width="11.1640625" bestFit="1" customWidth="1"/>
  </cols>
  <sheetData>
    <row r="6" spans="4:9" ht="17" thickBot="1" x14ac:dyDescent="0.25"/>
    <row r="7" spans="4:9" ht="35" thickBot="1" x14ac:dyDescent="0.25">
      <c r="D7" s="22" t="s">
        <v>256</v>
      </c>
      <c r="E7" s="23" t="s">
        <v>239</v>
      </c>
      <c r="G7" s="33" t="s">
        <v>256</v>
      </c>
      <c r="H7" s="44" t="s">
        <v>239</v>
      </c>
    </row>
    <row r="8" spans="4:9" ht="69" thickBot="1" x14ac:dyDescent="0.25">
      <c r="D8" s="24"/>
      <c r="E8" s="25"/>
      <c r="G8" s="45" t="s">
        <v>119</v>
      </c>
      <c r="H8" s="46" t="s">
        <v>260</v>
      </c>
    </row>
    <row r="9" spans="4:9" ht="52" thickBot="1" x14ac:dyDescent="0.25">
      <c r="D9" s="24"/>
      <c r="E9" s="26"/>
      <c r="G9" s="47" t="s">
        <v>100</v>
      </c>
      <c r="H9" s="48" t="s">
        <v>261</v>
      </c>
    </row>
    <row r="10" spans="4:9" ht="120" thickBot="1" x14ac:dyDescent="0.25">
      <c r="D10" s="24"/>
      <c r="E10" s="26"/>
      <c r="G10" s="45" t="s">
        <v>257</v>
      </c>
      <c r="H10" s="46" t="s">
        <v>262</v>
      </c>
    </row>
    <row r="11" spans="4:9" ht="69" thickBot="1" x14ac:dyDescent="0.25">
      <c r="G11" s="47" t="s">
        <v>258</v>
      </c>
      <c r="H11" s="48" t="s">
        <v>259</v>
      </c>
    </row>
    <row r="15" spans="4:9" x14ac:dyDescent="0.2">
      <c r="I15" s="3">
        <v>564845.4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42225-7CB1-604E-8A8B-9BB63F8C5CEC}">
  <dimension ref="C6:I14"/>
  <sheetViews>
    <sheetView workbookViewId="0">
      <selection activeCell="I10" sqref="I10"/>
    </sheetView>
  </sheetViews>
  <sheetFormatPr baseColWidth="10" defaultRowHeight="16" x14ac:dyDescent="0.2"/>
  <cols>
    <col min="8" max="8" width="20.6640625" customWidth="1"/>
    <col min="9" max="9" width="38.83203125" customWidth="1"/>
  </cols>
  <sheetData>
    <row r="6" spans="3:9" ht="17" thickBot="1" x14ac:dyDescent="0.25"/>
    <row r="7" spans="3:9" ht="35" thickBot="1" x14ac:dyDescent="0.25">
      <c r="C7" s="18" t="s">
        <v>263</v>
      </c>
      <c r="D7" s="19" t="s">
        <v>124</v>
      </c>
      <c r="H7" s="33" t="s">
        <v>263</v>
      </c>
      <c r="I7" s="44" t="s">
        <v>124</v>
      </c>
    </row>
    <row r="8" spans="3:9" ht="52" thickBot="1" x14ac:dyDescent="0.25">
      <c r="C8" s="20"/>
      <c r="D8" s="21"/>
      <c r="H8" s="45" t="s">
        <v>275</v>
      </c>
      <c r="I8" s="46" t="s">
        <v>271</v>
      </c>
    </row>
    <row r="9" spans="3:9" ht="52" thickBot="1" x14ac:dyDescent="0.25">
      <c r="H9" s="47" t="s">
        <v>264</v>
      </c>
      <c r="I9" s="48" t="s">
        <v>265</v>
      </c>
    </row>
    <row r="10" spans="3:9" ht="52" thickBot="1" x14ac:dyDescent="0.25">
      <c r="H10" s="45" t="s">
        <v>266</v>
      </c>
      <c r="I10" s="46" t="s">
        <v>267</v>
      </c>
    </row>
    <row r="11" spans="3:9" ht="35" thickBot="1" x14ac:dyDescent="0.25">
      <c r="H11" s="47" t="s">
        <v>268</v>
      </c>
      <c r="I11" s="48" t="s">
        <v>269</v>
      </c>
    </row>
    <row r="12" spans="3:9" ht="52" thickBot="1" x14ac:dyDescent="0.25">
      <c r="H12" s="45" t="s">
        <v>276</v>
      </c>
      <c r="I12" s="46" t="s">
        <v>270</v>
      </c>
    </row>
    <row r="13" spans="3:9" ht="52" thickBot="1" x14ac:dyDescent="0.25">
      <c r="H13" s="47" t="s">
        <v>272</v>
      </c>
      <c r="I13" s="48" t="s">
        <v>273</v>
      </c>
    </row>
    <row r="14" spans="3:9" ht="52" thickBot="1" x14ac:dyDescent="0.25">
      <c r="H14" s="45" t="s">
        <v>274</v>
      </c>
      <c r="I14" s="46" t="s">
        <v>277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77678-FA64-2B41-839D-42E28CB37151}">
  <dimension ref="B3:G29"/>
  <sheetViews>
    <sheetView topLeftCell="A8" workbookViewId="0">
      <selection activeCell="G13" sqref="G12:G13"/>
    </sheetView>
  </sheetViews>
  <sheetFormatPr baseColWidth="10" defaultRowHeight="16" x14ac:dyDescent="0.2"/>
  <cols>
    <col min="2" max="2" width="39" customWidth="1"/>
    <col min="5" max="5" width="14.33203125" customWidth="1"/>
  </cols>
  <sheetData>
    <row r="3" spans="2:7" x14ac:dyDescent="0.2">
      <c r="C3" t="s">
        <v>45</v>
      </c>
      <c r="D3" t="s">
        <v>46</v>
      </c>
      <c r="E3" t="s">
        <v>48</v>
      </c>
      <c r="F3" t="s">
        <v>47</v>
      </c>
      <c r="G3" t="s">
        <v>49</v>
      </c>
    </row>
    <row r="4" spans="2:7" x14ac:dyDescent="0.2">
      <c r="B4" t="s">
        <v>0</v>
      </c>
      <c r="C4">
        <v>110000</v>
      </c>
      <c r="D4">
        <v>52</v>
      </c>
      <c r="E4">
        <v>40</v>
      </c>
      <c r="F4">
        <f t="shared" ref="F4:F15" si="0">C4/D4/E4</f>
        <v>52.88461538461538</v>
      </c>
      <c r="G4">
        <v>53</v>
      </c>
    </row>
    <row r="5" spans="2:7" x14ac:dyDescent="0.2">
      <c r="B5" t="s">
        <v>1</v>
      </c>
      <c r="C5">
        <v>105000</v>
      </c>
      <c r="D5">
        <v>52</v>
      </c>
      <c r="E5">
        <v>40</v>
      </c>
      <c r="F5">
        <f t="shared" si="0"/>
        <v>50.480769230769234</v>
      </c>
      <c r="G5">
        <v>51</v>
      </c>
    </row>
    <row r="6" spans="2:7" x14ac:dyDescent="0.2">
      <c r="B6" t="s">
        <v>2</v>
      </c>
      <c r="C6">
        <v>107000</v>
      </c>
      <c r="D6">
        <v>52</v>
      </c>
      <c r="E6">
        <v>40</v>
      </c>
      <c r="F6">
        <f t="shared" si="0"/>
        <v>51.442307692307693</v>
      </c>
      <c r="G6">
        <v>52</v>
      </c>
    </row>
    <row r="7" spans="2:7" x14ac:dyDescent="0.2">
      <c r="B7" t="s">
        <v>3</v>
      </c>
      <c r="C7">
        <v>70000</v>
      </c>
      <c r="D7">
        <v>52</v>
      </c>
      <c r="E7">
        <v>40</v>
      </c>
      <c r="F7">
        <f t="shared" si="0"/>
        <v>33.653846153846153</v>
      </c>
      <c r="G7">
        <v>34</v>
      </c>
    </row>
    <row r="8" spans="2:7" x14ac:dyDescent="0.2">
      <c r="B8" t="s">
        <v>4</v>
      </c>
      <c r="C8">
        <v>86000</v>
      </c>
      <c r="D8">
        <v>52</v>
      </c>
      <c r="E8">
        <v>40</v>
      </c>
      <c r="F8">
        <f t="shared" si="0"/>
        <v>41.346153846153847</v>
      </c>
      <c r="G8">
        <v>42</v>
      </c>
    </row>
    <row r="9" spans="2:7" x14ac:dyDescent="0.2">
      <c r="B9" t="s">
        <v>5</v>
      </c>
      <c r="C9">
        <v>98000</v>
      </c>
      <c r="D9">
        <v>52</v>
      </c>
      <c r="E9">
        <v>40</v>
      </c>
      <c r="F9">
        <f t="shared" si="0"/>
        <v>47.115384615384613</v>
      </c>
      <c r="G9">
        <v>48</v>
      </c>
    </row>
    <row r="10" spans="2:7" x14ac:dyDescent="0.2">
      <c r="B10" t="s">
        <v>6</v>
      </c>
      <c r="C10">
        <v>95000</v>
      </c>
      <c r="D10">
        <v>52</v>
      </c>
      <c r="E10">
        <v>40</v>
      </c>
      <c r="F10">
        <f t="shared" si="0"/>
        <v>45.67307692307692</v>
      </c>
      <c r="G10">
        <v>46</v>
      </c>
    </row>
    <row r="11" spans="2:7" x14ac:dyDescent="0.2">
      <c r="B11" t="s">
        <v>12</v>
      </c>
      <c r="C11">
        <v>95000</v>
      </c>
      <c r="D11">
        <v>52</v>
      </c>
      <c r="E11">
        <v>40</v>
      </c>
      <c r="F11">
        <f t="shared" si="0"/>
        <v>45.67307692307692</v>
      </c>
      <c r="G11">
        <v>46</v>
      </c>
    </row>
    <row r="12" spans="2:7" x14ac:dyDescent="0.2">
      <c r="B12" t="s">
        <v>14</v>
      </c>
      <c r="C12">
        <v>68000</v>
      </c>
      <c r="D12">
        <v>52</v>
      </c>
      <c r="E12">
        <v>40</v>
      </c>
      <c r="F12">
        <f t="shared" si="0"/>
        <v>32.692307692307693</v>
      </c>
      <c r="G12">
        <v>33</v>
      </c>
    </row>
    <row r="13" spans="2:7" x14ac:dyDescent="0.2">
      <c r="B13" t="s">
        <v>13</v>
      </c>
      <c r="C13">
        <v>68000</v>
      </c>
      <c r="D13">
        <v>52</v>
      </c>
      <c r="E13">
        <v>40</v>
      </c>
      <c r="F13">
        <f t="shared" si="0"/>
        <v>32.692307692307693</v>
      </c>
      <c r="G13">
        <v>33</v>
      </c>
    </row>
    <row r="14" spans="2:7" x14ac:dyDescent="0.2">
      <c r="B14" t="s">
        <v>15</v>
      </c>
      <c r="C14">
        <v>58000</v>
      </c>
      <c r="D14">
        <v>52</v>
      </c>
      <c r="E14">
        <v>40</v>
      </c>
      <c r="F14">
        <f t="shared" si="0"/>
        <v>27.884615384615387</v>
      </c>
      <c r="G14">
        <v>28</v>
      </c>
    </row>
    <row r="15" spans="2:7" x14ac:dyDescent="0.2">
      <c r="B15" t="s">
        <v>7</v>
      </c>
      <c r="C15">
        <v>58000</v>
      </c>
      <c r="D15">
        <v>52</v>
      </c>
      <c r="E15">
        <v>40</v>
      </c>
      <c r="F15">
        <f t="shared" si="0"/>
        <v>27.884615384615387</v>
      </c>
      <c r="G15">
        <v>28</v>
      </c>
    </row>
    <row r="16" spans="2:7" x14ac:dyDescent="0.2">
      <c r="B16" t="s">
        <v>19</v>
      </c>
      <c r="D16">
        <v>52</v>
      </c>
      <c r="E16">
        <v>40</v>
      </c>
      <c r="F16">
        <v>25</v>
      </c>
      <c r="G16">
        <v>25</v>
      </c>
    </row>
    <row r="17" spans="2:7" x14ac:dyDescent="0.2">
      <c r="B17" t="s">
        <v>18</v>
      </c>
      <c r="D17">
        <v>52</v>
      </c>
      <c r="E17">
        <v>40</v>
      </c>
      <c r="F17">
        <v>25</v>
      </c>
      <c r="G17">
        <v>25</v>
      </c>
    </row>
    <row r="18" spans="2:7" x14ac:dyDescent="0.2">
      <c r="B18" t="s">
        <v>17</v>
      </c>
      <c r="D18">
        <v>52</v>
      </c>
      <c r="E18">
        <v>40</v>
      </c>
      <c r="F18">
        <v>25</v>
      </c>
      <c r="G18">
        <v>25</v>
      </c>
    </row>
    <row r="19" spans="2:7" x14ac:dyDescent="0.2">
      <c r="B19" t="s">
        <v>16</v>
      </c>
      <c r="D19">
        <v>52</v>
      </c>
      <c r="E19">
        <v>40</v>
      </c>
      <c r="F19">
        <v>25</v>
      </c>
      <c r="G19">
        <v>25</v>
      </c>
    </row>
    <row r="20" spans="2:7" x14ac:dyDescent="0.2">
      <c r="B20" t="s">
        <v>8</v>
      </c>
      <c r="D20">
        <v>52</v>
      </c>
      <c r="E20">
        <v>40</v>
      </c>
      <c r="F20">
        <v>25</v>
      </c>
      <c r="G20">
        <v>25</v>
      </c>
    </row>
    <row r="21" spans="2:7" x14ac:dyDescent="0.2">
      <c r="B21" t="s">
        <v>9</v>
      </c>
      <c r="C21">
        <v>70000</v>
      </c>
      <c r="D21">
        <v>52</v>
      </c>
      <c r="E21">
        <v>40</v>
      </c>
      <c r="F21">
        <f>C21/D21/E21</f>
        <v>33.653846153846153</v>
      </c>
      <c r="G21">
        <v>34</v>
      </c>
    </row>
    <row r="22" spans="2:7" x14ac:dyDescent="0.2">
      <c r="B22" t="s">
        <v>10</v>
      </c>
      <c r="C22">
        <v>71000</v>
      </c>
      <c r="D22">
        <v>52</v>
      </c>
      <c r="E22">
        <v>40</v>
      </c>
      <c r="F22">
        <f>C22/D22/E22</f>
        <v>34.134615384615387</v>
      </c>
      <c r="G22">
        <v>35</v>
      </c>
    </row>
    <row r="23" spans="2:7" x14ac:dyDescent="0.2">
      <c r="B23" t="s">
        <v>11</v>
      </c>
      <c r="C23">
        <v>73000</v>
      </c>
      <c r="D23">
        <v>52</v>
      </c>
      <c r="E23">
        <v>40</v>
      </c>
      <c r="F23">
        <f>C23/D23/E23</f>
        <v>35.096153846153847</v>
      </c>
      <c r="G23">
        <v>36</v>
      </c>
    </row>
    <row r="26" spans="2:7" x14ac:dyDescent="0.2">
      <c r="D26">
        <v>42</v>
      </c>
    </row>
    <row r="27" spans="2:7" x14ac:dyDescent="0.2">
      <c r="D27">
        <v>12</v>
      </c>
    </row>
    <row r="28" spans="2:7" x14ac:dyDescent="0.2">
      <c r="D28">
        <v>20</v>
      </c>
    </row>
    <row r="29" spans="2:7" x14ac:dyDescent="0.2">
      <c r="D29">
        <v>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DF70B-84F8-9C4E-A82A-D99AA38B346A}">
  <dimension ref="D5:L24"/>
  <sheetViews>
    <sheetView topLeftCell="A3" workbookViewId="0">
      <selection activeCell="I18" sqref="I18"/>
    </sheetView>
  </sheetViews>
  <sheetFormatPr baseColWidth="10" defaultRowHeight="16" x14ac:dyDescent="0.2"/>
  <cols>
    <col min="4" max="4" width="17.5" customWidth="1"/>
    <col min="5" max="5" width="34.33203125" customWidth="1"/>
    <col min="6" max="6" width="20.5" bestFit="1" customWidth="1"/>
    <col min="7" max="7" width="11.1640625" bestFit="1" customWidth="1"/>
    <col min="12" max="12" width="11.1640625" bestFit="1" customWidth="1"/>
  </cols>
  <sheetData>
    <row r="5" spans="4:12" ht="22" customHeight="1" x14ac:dyDescent="0.2">
      <c r="D5" t="s">
        <v>52</v>
      </c>
      <c r="E5" t="s">
        <v>53</v>
      </c>
      <c r="F5" t="s">
        <v>54</v>
      </c>
      <c r="G5" t="s">
        <v>55</v>
      </c>
      <c r="K5" s="15" t="s">
        <v>52</v>
      </c>
      <c r="L5" s="15" t="s">
        <v>55</v>
      </c>
    </row>
    <row r="6" spans="4:12" ht="22" customHeight="1" x14ac:dyDescent="0.2">
      <c r="D6" t="s">
        <v>33</v>
      </c>
      <c r="E6" t="s">
        <v>56</v>
      </c>
      <c r="F6" s="6" t="s">
        <v>67</v>
      </c>
      <c r="G6" s="3">
        <v>101472</v>
      </c>
      <c r="K6" s="15" t="s">
        <v>33</v>
      </c>
      <c r="L6" s="17">
        <v>104307</v>
      </c>
    </row>
    <row r="7" spans="4:12" ht="22" customHeight="1" x14ac:dyDescent="0.2">
      <c r="D7" t="s">
        <v>34</v>
      </c>
      <c r="E7" t="s">
        <v>57</v>
      </c>
      <c r="F7" s="6" t="s">
        <v>68</v>
      </c>
      <c r="G7" s="3">
        <v>37338</v>
      </c>
      <c r="K7" s="15" t="s">
        <v>34</v>
      </c>
      <c r="L7" s="17">
        <v>37338</v>
      </c>
    </row>
    <row r="8" spans="4:12" ht="22" customHeight="1" x14ac:dyDescent="0.2">
      <c r="D8" t="s">
        <v>35</v>
      </c>
      <c r="E8" s="5" t="s">
        <v>61</v>
      </c>
      <c r="F8" s="6" t="s">
        <v>69</v>
      </c>
      <c r="G8" s="3">
        <v>69342</v>
      </c>
      <c r="K8" s="15" t="s">
        <v>35</v>
      </c>
      <c r="L8" s="17">
        <v>69342</v>
      </c>
    </row>
    <row r="9" spans="4:12" ht="22" customHeight="1" x14ac:dyDescent="0.2">
      <c r="D9" t="s">
        <v>36</v>
      </c>
      <c r="E9" s="5" t="s">
        <v>58</v>
      </c>
      <c r="F9" s="6" t="s">
        <v>70</v>
      </c>
      <c r="G9" s="3">
        <v>48006</v>
      </c>
      <c r="K9" s="15" t="s">
        <v>36</v>
      </c>
      <c r="L9" s="17">
        <v>48006</v>
      </c>
    </row>
    <row r="10" spans="4:12" ht="22" customHeight="1" x14ac:dyDescent="0.2">
      <c r="D10" t="s">
        <v>37</v>
      </c>
      <c r="E10" s="5" t="s">
        <v>59</v>
      </c>
      <c r="F10" s="6" t="s">
        <v>71</v>
      </c>
      <c r="G10" s="3">
        <v>70249.2</v>
      </c>
      <c r="K10" s="15" t="s">
        <v>37</v>
      </c>
      <c r="L10" s="17">
        <v>70249.2</v>
      </c>
    </row>
    <row r="11" spans="4:12" ht="22" customHeight="1" x14ac:dyDescent="0.2">
      <c r="D11" t="s">
        <v>38</v>
      </c>
      <c r="E11" s="5" t="s">
        <v>60</v>
      </c>
      <c r="F11" s="6" t="s">
        <v>72</v>
      </c>
      <c r="G11" s="3">
        <v>32004</v>
      </c>
      <c r="K11" s="15" t="s">
        <v>38</v>
      </c>
      <c r="L11" s="17">
        <v>32004</v>
      </c>
    </row>
    <row r="12" spans="4:12" ht="22" customHeight="1" x14ac:dyDescent="0.2">
      <c r="D12" t="s">
        <v>39</v>
      </c>
      <c r="E12" s="5" t="s">
        <v>62</v>
      </c>
      <c r="F12" s="6" t="s">
        <v>73</v>
      </c>
      <c r="G12" s="3">
        <v>32004</v>
      </c>
      <c r="K12" s="15" t="s">
        <v>39</v>
      </c>
      <c r="L12" s="17">
        <v>32004</v>
      </c>
    </row>
    <row r="13" spans="4:12" ht="22" customHeight="1" x14ac:dyDescent="0.2">
      <c r="D13" t="s">
        <v>40</v>
      </c>
      <c r="E13" s="5" t="s">
        <v>63</v>
      </c>
      <c r="F13" s="6" t="s">
        <v>74</v>
      </c>
      <c r="G13" s="3">
        <v>32004</v>
      </c>
      <c r="K13" s="15" t="s">
        <v>40</v>
      </c>
      <c r="L13" s="17">
        <v>32004</v>
      </c>
    </row>
    <row r="14" spans="4:12" ht="22" customHeight="1" x14ac:dyDescent="0.2">
      <c r="D14" t="s">
        <v>41</v>
      </c>
      <c r="E14" s="5" t="s">
        <v>64</v>
      </c>
      <c r="F14" s="6" t="s">
        <v>75</v>
      </c>
      <c r="G14" s="3">
        <v>32004</v>
      </c>
      <c r="K14" s="15" t="s">
        <v>41</v>
      </c>
      <c r="L14" s="17">
        <v>32004</v>
      </c>
    </row>
    <row r="15" spans="4:12" ht="22" customHeight="1" x14ac:dyDescent="0.2">
      <c r="D15" t="s">
        <v>42</v>
      </c>
      <c r="E15" s="5" t="s">
        <v>65</v>
      </c>
      <c r="F15" s="6" t="s">
        <v>76</v>
      </c>
      <c r="G15" s="3">
        <v>32004</v>
      </c>
      <c r="K15" s="15" t="s">
        <v>42</v>
      </c>
      <c r="L15" s="17">
        <v>32004</v>
      </c>
    </row>
    <row r="16" spans="4:12" ht="22" customHeight="1" x14ac:dyDescent="0.2">
      <c r="D16" t="s">
        <v>43</v>
      </c>
      <c r="E16" s="5" t="s">
        <v>66</v>
      </c>
      <c r="F16" s="6" t="s">
        <v>77</v>
      </c>
      <c r="G16" s="3">
        <v>75583.199999999997</v>
      </c>
      <c r="K16" s="15" t="s">
        <v>43</v>
      </c>
      <c r="L16" s="17">
        <v>75583.199999999997</v>
      </c>
    </row>
    <row r="17" spans="4:12" ht="22" customHeight="1" x14ac:dyDescent="0.2">
      <c r="D17" t="s">
        <v>78</v>
      </c>
      <c r="G17" s="3">
        <f>SUM(G6:G16)</f>
        <v>562010.4</v>
      </c>
      <c r="K17" s="15" t="s">
        <v>78</v>
      </c>
      <c r="L17" s="17">
        <v>564845.4</v>
      </c>
    </row>
    <row r="21" spans="4:12" x14ac:dyDescent="0.2">
      <c r="D21" t="s">
        <v>118</v>
      </c>
      <c r="E21" t="s">
        <v>119</v>
      </c>
    </row>
    <row r="22" spans="4:12" x14ac:dyDescent="0.2">
      <c r="D22" t="s">
        <v>280</v>
      </c>
      <c r="E22">
        <v>73317.399999999994</v>
      </c>
    </row>
    <row r="23" spans="4:12" x14ac:dyDescent="0.2">
      <c r="D23" t="s">
        <v>281</v>
      </c>
      <c r="E23">
        <v>491528</v>
      </c>
    </row>
    <row r="24" spans="4:12" x14ac:dyDescent="0.2">
      <c r="D24" t="s">
        <v>122</v>
      </c>
      <c r="E24" s="3">
        <v>564845.4</v>
      </c>
    </row>
  </sheetData>
  <phoneticPr fontId="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14D3F-037D-2E49-80D7-211C9547F8BF}">
  <dimension ref="E5:R32"/>
  <sheetViews>
    <sheetView topLeftCell="A27" workbookViewId="0">
      <selection activeCell="G20" sqref="G20"/>
    </sheetView>
  </sheetViews>
  <sheetFormatPr baseColWidth="10" defaultRowHeight="16" x14ac:dyDescent="0.2"/>
  <cols>
    <col min="5" max="5" width="11.83203125" customWidth="1"/>
    <col min="6" max="6" width="16" customWidth="1"/>
  </cols>
  <sheetData>
    <row r="5" spans="5:18" ht="17" thickBot="1" x14ac:dyDescent="0.25"/>
    <row r="6" spans="5:18" ht="35" thickBot="1" x14ac:dyDescent="0.25">
      <c r="E6" s="7" t="s">
        <v>79</v>
      </c>
      <c r="F6" s="8" t="s">
        <v>50</v>
      </c>
      <c r="G6" s="8" t="s">
        <v>80</v>
      </c>
      <c r="H6" s="8" t="s">
        <v>81</v>
      </c>
      <c r="I6" s="8" t="s">
        <v>82</v>
      </c>
    </row>
    <row r="7" spans="5:18" ht="52" thickBot="1" x14ac:dyDescent="0.25">
      <c r="E7" s="9" t="s">
        <v>83</v>
      </c>
      <c r="F7" s="10" t="s">
        <v>84</v>
      </c>
      <c r="G7" s="10">
        <v>5</v>
      </c>
      <c r="H7" s="10">
        <v>5</v>
      </c>
      <c r="I7" s="10" t="s">
        <v>87</v>
      </c>
      <c r="N7" t="s">
        <v>79</v>
      </c>
      <c r="O7" t="s">
        <v>50</v>
      </c>
      <c r="P7" t="s">
        <v>80</v>
      </c>
      <c r="Q7" t="s">
        <v>81</v>
      </c>
      <c r="R7" t="s">
        <v>82</v>
      </c>
    </row>
    <row r="8" spans="5:18" ht="18" thickBot="1" x14ac:dyDescent="0.25">
      <c r="E8" t="s">
        <v>85</v>
      </c>
      <c r="F8" t="s">
        <v>86</v>
      </c>
      <c r="G8">
        <v>4</v>
      </c>
      <c r="H8">
        <v>4</v>
      </c>
      <c r="I8" s="10" t="s">
        <v>87</v>
      </c>
      <c r="N8" t="s">
        <v>83</v>
      </c>
      <c r="O8" t="s">
        <v>84</v>
      </c>
      <c r="P8">
        <v>5</v>
      </c>
      <c r="Q8">
        <v>5</v>
      </c>
      <c r="R8" t="s">
        <v>87</v>
      </c>
    </row>
    <row r="9" spans="5:18" x14ac:dyDescent="0.2">
      <c r="E9" t="s">
        <v>88</v>
      </c>
      <c r="F9" t="s">
        <v>89</v>
      </c>
      <c r="G9">
        <v>3</v>
      </c>
      <c r="H9">
        <v>3</v>
      </c>
      <c r="I9" t="s">
        <v>87</v>
      </c>
      <c r="N9" t="s">
        <v>85</v>
      </c>
      <c r="O9" t="s">
        <v>86</v>
      </c>
      <c r="P9">
        <v>4</v>
      </c>
      <c r="Q9">
        <v>4</v>
      </c>
      <c r="R9" t="s">
        <v>87</v>
      </c>
    </row>
    <row r="10" spans="5:18" x14ac:dyDescent="0.2">
      <c r="E10" t="s">
        <v>90</v>
      </c>
      <c r="F10" t="s">
        <v>91</v>
      </c>
      <c r="G10">
        <v>3</v>
      </c>
      <c r="H10">
        <v>3</v>
      </c>
      <c r="I10" t="s">
        <v>92</v>
      </c>
      <c r="N10" t="s">
        <v>88</v>
      </c>
      <c r="O10" t="s">
        <v>89</v>
      </c>
      <c r="P10">
        <v>3</v>
      </c>
      <c r="Q10">
        <v>3</v>
      </c>
      <c r="R10" t="s">
        <v>87</v>
      </c>
    </row>
    <row r="11" spans="5:18" x14ac:dyDescent="0.2">
      <c r="E11" t="s">
        <v>93</v>
      </c>
      <c r="F11" t="s">
        <v>94</v>
      </c>
      <c r="G11">
        <v>2</v>
      </c>
      <c r="H11">
        <v>2</v>
      </c>
      <c r="I11" t="s">
        <v>87</v>
      </c>
      <c r="N11" t="s">
        <v>90</v>
      </c>
      <c r="O11" t="s">
        <v>91</v>
      </c>
      <c r="P11">
        <v>3</v>
      </c>
      <c r="Q11">
        <v>3</v>
      </c>
      <c r="R11" t="s">
        <v>92</v>
      </c>
    </row>
    <row r="12" spans="5:18" x14ac:dyDescent="0.2">
      <c r="E12" t="s">
        <v>95</v>
      </c>
      <c r="F12" t="s">
        <v>96</v>
      </c>
      <c r="G12">
        <v>3</v>
      </c>
      <c r="H12">
        <v>3</v>
      </c>
      <c r="I12" t="s">
        <v>87</v>
      </c>
      <c r="N12" t="s">
        <v>93</v>
      </c>
      <c r="O12" t="s">
        <v>94</v>
      </c>
      <c r="P12">
        <v>2</v>
      </c>
      <c r="Q12">
        <v>2</v>
      </c>
      <c r="R12" t="s">
        <v>87</v>
      </c>
    </row>
    <row r="13" spans="5:18" x14ac:dyDescent="0.2">
      <c r="N13" t="s">
        <v>95</v>
      </c>
      <c r="O13" t="s">
        <v>96</v>
      </c>
      <c r="P13">
        <v>3</v>
      </c>
      <c r="Q13">
        <v>3</v>
      </c>
      <c r="R13" t="s">
        <v>87</v>
      </c>
    </row>
    <row r="16" spans="5:18" ht="17" thickBot="1" x14ac:dyDescent="0.25"/>
    <row r="17" spans="5:11" ht="69" thickBot="1" x14ac:dyDescent="0.25">
      <c r="E17" s="11" t="s">
        <v>79</v>
      </c>
      <c r="F17" s="12" t="s">
        <v>50</v>
      </c>
      <c r="G17" s="12" t="s">
        <v>97</v>
      </c>
      <c r="H17" s="12" t="s">
        <v>98</v>
      </c>
      <c r="I17" s="12" t="s">
        <v>99</v>
      </c>
      <c r="J17" s="12" t="s">
        <v>100</v>
      </c>
      <c r="K17" s="12" t="s">
        <v>101</v>
      </c>
    </row>
    <row r="18" spans="5:11" ht="120" thickBot="1" x14ac:dyDescent="0.25">
      <c r="E18" s="13" t="s">
        <v>103</v>
      </c>
      <c r="F18" s="14" t="s">
        <v>84</v>
      </c>
      <c r="G18" s="14" t="s">
        <v>102</v>
      </c>
      <c r="H18" s="14" t="s">
        <v>106</v>
      </c>
      <c r="I18" s="14" t="s">
        <v>108</v>
      </c>
      <c r="J18" s="14" t="s">
        <v>112</v>
      </c>
      <c r="K18" s="14" t="s">
        <v>111</v>
      </c>
    </row>
    <row r="19" spans="5:11" ht="86" thickBot="1" x14ac:dyDescent="0.25">
      <c r="E19" s="13" t="s">
        <v>88</v>
      </c>
      <c r="F19" s="14" t="s">
        <v>89</v>
      </c>
      <c r="G19" s="14" t="s">
        <v>104</v>
      </c>
      <c r="H19" s="14" t="s">
        <v>107</v>
      </c>
      <c r="I19" s="14" t="s">
        <v>109</v>
      </c>
      <c r="J19" s="14" t="s">
        <v>113</v>
      </c>
      <c r="K19" s="14" t="s">
        <v>111</v>
      </c>
    </row>
    <row r="20" spans="5:11" ht="103" thickBot="1" x14ac:dyDescent="0.25">
      <c r="E20" s="13" t="s">
        <v>90</v>
      </c>
      <c r="F20" s="14" t="s">
        <v>91</v>
      </c>
      <c r="G20" s="14" t="s">
        <v>105</v>
      </c>
      <c r="H20" s="14" t="s">
        <v>107</v>
      </c>
      <c r="I20" s="14" t="s">
        <v>110</v>
      </c>
      <c r="J20" s="14" t="s">
        <v>113</v>
      </c>
      <c r="K20" s="14" t="s">
        <v>111</v>
      </c>
    </row>
    <row r="21" spans="5:11" ht="86" thickBot="1" x14ac:dyDescent="0.25">
      <c r="E21" s="13" t="s">
        <v>93</v>
      </c>
      <c r="F21" s="14" t="s">
        <v>94</v>
      </c>
      <c r="G21" s="14" t="s">
        <v>104</v>
      </c>
      <c r="H21" s="14" t="s">
        <v>107</v>
      </c>
      <c r="I21" s="14" t="s">
        <v>109</v>
      </c>
      <c r="J21" s="14" t="s">
        <v>113</v>
      </c>
      <c r="K21" s="14" t="s">
        <v>111</v>
      </c>
    </row>
    <row r="22" spans="5:11" ht="86" thickBot="1" x14ac:dyDescent="0.25">
      <c r="E22" s="9" t="s">
        <v>95</v>
      </c>
      <c r="F22" s="10" t="s">
        <v>96</v>
      </c>
      <c r="G22" s="14" t="s">
        <v>104</v>
      </c>
      <c r="H22" s="10" t="s">
        <v>107</v>
      </c>
      <c r="I22" s="14" t="s">
        <v>109</v>
      </c>
      <c r="J22" s="14" t="s">
        <v>113</v>
      </c>
      <c r="K22" s="14" t="s">
        <v>111</v>
      </c>
    </row>
    <row r="27" spans="5:11" ht="53" customHeight="1" x14ac:dyDescent="0.2">
      <c r="E27" s="15" t="s">
        <v>79</v>
      </c>
      <c r="F27" s="15" t="s">
        <v>50</v>
      </c>
      <c r="G27" s="15" t="s">
        <v>97</v>
      </c>
      <c r="H27" s="15" t="s">
        <v>98</v>
      </c>
      <c r="I27" s="15" t="s">
        <v>99</v>
      </c>
      <c r="J27" s="15" t="s">
        <v>100</v>
      </c>
      <c r="K27" s="15" t="s">
        <v>101</v>
      </c>
    </row>
    <row r="28" spans="5:11" ht="53" customHeight="1" x14ac:dyDescent="0.2">
      <c r="E28" s="15" t="s">
        <v>103</v>
      </c>
      <c r="F28" s="15" t="s">
        <v>84</v>
      </c>
      <c r="G28" s="15" t="s">
        <v>102</v>
      </c>
      <c r="H28" s="15" t="s">
        <v>114</v>
      </c>
      <c r="I28" s="16" t="s">
        <v>115</v>
      </c>
      <c r="J28" s="15" t="s">
        <v>117</v>
      </c>
      <c r="K28" s="15" t="s">
        <v>111</v>
      </c>
    </row>
    <row r="29" spans="5:11" ht="53" customHeight="1" x14ac:dyDescent="0.2">
      <c r="E29" s="15" t="s">
        <v>88</v>
      </c>
      <c r="F29" s="15" t="s">
        <v>89</v>
      </c>
      <c r="G29" s="15" t="s">
        <v>104</v>
      </c>
      <c r="H29" s="15" t="s">
        <v>114</v>
      </c>
      <c r="I29" s="16" t="s">
        <v>116</v>
      </c>
      <c r="J29" s="15" t="s">
        <v>117</v>
      </c>
      <c r="K29" s="15" t="s">
        <v>111</v>
      </c>
    </row>
    <row r="30" spans="5:11" ht="53" customHeight="1" x14ac:dyDescent="0.2">
      <c r="E30" s="15" t="s">
        <v>90</v>
      </c>
      <c r="F30" s="15" t="s">
        <v>91</v>
      </c>
      <c r="G30" s="15" t="s">
        <v>105</v>
      </c>
      <c r="H30" s="15" t="s">
        <v>114</v>
      </c>
      <c r="I30" s="16" t="s">
        <v>116</v>
      </c>
      <c r="J30" s="15" t="s">
        <v>117</v>
      </c>
      <c r="K30" s="15" t="s">
        <v>111</v>
      </c>
    </row>
    <row r="31" spans="5:11" ht="53" customHeight="1" x14ac:dyDescent="0.2">
      <c r="E31" s="15" t="s">
        <v>93</v>
      </c>
      <c r="F31" s="15" t="s">
        <v>94</v>
      </c>
      <c r="G31" s="15" t="s">
        <v>104</v>
      </c>
      <c r="H31" s="15" t="s">
        <v>114</v>
      </c>
      <c r="I31" s="16" t="s">
        <v>116</v>
      </c>
      <c r="J31" s="15" t="s">
        <v>117</v>
      </c>
      <c r="K31" s="15" t="s">
        <v>111</v>
      </c>
    </row>
    <row r="32" spans="5:11" ht="53" customHeight="1" x14ac:dyDescent="0.2">
      <c r="E32" s="15" t="s">
        <v>95</v>
      </c>
      <c r="F32" s="15" t="s">
        <v>96</v>
      </c>
      <c r="G32" s="15" t="s">
        <v>104</v>
      </c>
      <c r="H32" s="15" t="s">
        <v>114</v>
      </c>
      <c r="I32" s="16" t="s">
        <v>116</v>
      </c>
      <c r="J32" s="15" t="s">
        <v>117</v>
      </c>
      <c r="K32" s="15" t="s">
        <v>111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173AC-1D6F-864B-8E42-9B5D056CFF01}">
  <dimension ref="D4:J61"/>
  <sheetViews>
    <sheetView workbookViewId="0">
      <selection activeCell="I36" sqref="I36:J37"/>
    </sheetView>
  </sheetViews>
  <sheetFormatPr baseColWidth="10" defaultRowHeight="16" x14ac:dyDescent="0.2"/>
  <cols>
    <col min="1" max="3" width="10.83203125" style="6"/>
    <col min="4" max="4" width="17.83203125" style="6" customWidth="1"/>
    <col min="5" max="8" width="10.83203125" style="6"/>
    <col min="9" max="9" width="17.33203125" style="6" customWidth="1"/>
    <col min="10" max="16384" width="10.83203125" style="6"/>
  </cols>
  <sheetData>
    <row r="4" spans="4:10" x14ac:dyDescent="0.2">
      <c r="D4" s="6" t="s">
        <v>176</v>
      </c>
      <c r="E4" s="6" t="s">
        <v>177</v>
      </c>
      <c r="F4" s="6" t="s">
        <v>176</v>
      </c>
      <c r="I4" s="6" t="s">
        <v>177</v>
      </c>
      <c r="J4" s="6" t="s">
        <v>176</v>
      </c>
    </row>
    <row r="6" spans="4:10" x14ac:dyDescent="0.2">
      <c r="D6" s="6" t="s">
        <v>199</v>
      </c>
      <c r="I6" s="6" t="s">
        <v>199</v>
      </c>
      <c r="J6" s="6" t="s">
        <v>178</v>
      </c>
    </row>
    <row r="7" spans="4:10" x14ac:dyDescent="0.2">
      <c r="D7" s="6" t="s">
        <v>200</v>
      </c>
      <c r="I7" s="6" t="s">
        <v>200</v>
      </c>
      <c r="J7" s="6" t="s">
        <v>179</v>
      </c>
    </row>
    <row r="8" spans="4:10" x14ac:dyDescent="0.2">
      <c r="D8" s="6" t="s">
        <v>67</v>
      </c>
      <c r="E8" s="6" t="s">
        <v>178</v>
      </c>
      <c r="I8" s="6" t="s">
        <v>67</v>
      </c>
      <c r="J8" s="6" t="s">
        <v>180</v>
      </c>
    </row>
    <row r="9" spans="4:10" x14ac:dyDescent="0.2">
      <c r="D9" s="6" t="s">
        <v>179</v>
      </c>
    </row>
    <row r="10" spans="4:10" x14ac:dyDescent="0.2">
      <c r="D10" s="6" t="s">
        <v>180</v>
      </c>
      <c r="I10" s="6" t="s">
        <v>201</v>
      </c>
      <c r="J10" s="6" t="s">
        <v>181</v>
      </c>
    </row>
    <row r="11" spans="4:10" x14ac:dyDescent="0.2">
      <c r="I11" s="6" t="s">
        <v>201</v>
      </c>
      <c r="J11" s="6" t="s">
        <v>182</v>
      </c>
    </row>
    <row r="12" spans="4:10" x14ac:dyDescent="0.2">
      <c r="D12" s="6" t="s">
        <v>201</v>
      </c>
      <c r="E12" s="6" t="s">
        <v>181</v>
      </c>
    </row>
    <row r="13" spans="4:10" x14ac:dyDescent="0.2">
      <c r="D13" s="6" t="s">
        <v>201</v>
      </c>
      <c r="E13" s="6" t="s">
        <v>182</v>
      </c>
      <c r="I13" s="6" t="s">
        <v>202</v>
      </c>
      <c r="J13" s="6" t="s">
        <v>183</v>
      </c>
    </row>
    <row r="14" spans="4:10" x14ac:dyDescent="0.2">
      <c r="I14" s="6" t="s">
        <v>203</v>
      </c>
      <c r="J14" s="6" t="s">
        <v>184</v>
      </c>
    </row>
    <row r="15" spans="4:10" x14ac:dyDescent="0.2">
      <c r="D15" s="6" t="s">
        <v>202</v>
      </c>
      <c r="I15" s="6" t="s">
        <v>203</v>
      </c>
      <c r="J15" s="6" t="s">
        <v>185</v>
      </c>
    </row>
    <row r="16" spans="4:10" x14ac:dyDescent="0.2">
      <c r="D16" s="6" t="s">
        <v>203</v>
      </c>
      <c r="I16" s="6" t="s">
        <v>203</v>
      </c>
      <c r="J16" s="6" t="s">
        <v>186</v>
      </c>
    </row>
    <row r="17" spans="4:10" x14ac:dyDescent="0.2">
      <c r="D17" s="6" t="s">
        <v>203</v>
      </c>
    </row>
    <row r="18" spans="4:10" x14ac:dyDescent="0.2">
      <c r="D18" s="6" t="s">
        <v>203</v>
      </c>
      <c r="I18" s="6" t="s">
        <v>204</v>
      </c>
      <c r="J18" s="6" t="s">
        <v>187</v>
      </c>
    </row>
    <row r="20" spans="4:10" x14ac:dyDescent="0.2">
      <c r="D20" s="6" t="s">
        <v>204</v>
      </c>
      <c r="I20" s="6" t="s">
        <v>205</v>
      </c>
      <c r="J20" s="6" t="s">
        <v>188</v>
      </c>
    </row>
    <row r="21" spans="4:10" x14ac:dyDescent="0.2">
      <c r="I21" s="6" t="s">
        <v>206</v>
      </c>
      <c r="J21" s="6" t="s">
        <v>189</v>
      </c>
    </row>
    <row r="22" spans="4:10" x14ac:dyDescent="0.2">
      <c r="D22" s="6" t="s">
        <v>205</v>
      </c>
    </row>
    <row r="23" spans="4:10" x14ac:dyDescent="0.2">
      <c r="D23" s="6" t="s">
        <v>206</v>
      </c>
      <c r="I23" s="6" t="s">
        <v>207</v>
      </c>
      <c r="J23" s="6" t="s">
        <v>190</v>
      </c>
    </row>
    <row r="25" spans="4:10" x14ac:dyDescent="0.2">
      <c r="D25" s="6" t="s">
        <v>207</v>
      </c>
      <c r="I25" s="6" t="s">
        <v>208</v>
      </c>
      <c r="J25" s="6" t="s">
        <v>191</v>
      </c>
    </row>
    <row r="27" spans="4:10" x14ac:dyDescent="0.2">
      <c r="D27" s="6" t="s">
        <v>208</v>
      </c>
      <c r="I27" s="6" t="s">
        <v>209</v>
      </c>
      <c r="J27" s="6" t="s">
        <v>192</v>
      </c>
    </row>
    <row r="29" spans="4:10" x14ac:dyDescent="0.2">
      <c r="D29" s="6" t="s">
        <v>209</v>
      </c>
      <c r="I29" s="6" t="s">
        <v>210</v>
      </c>
      <c r="J29" s="6" t="s">
        <v>193</v>
      </c>
    </row>
    <row r="31" spans="4:10" x14ac:dyDescent="0.2">
      <c r="D31" s="6" t="s">
        <v>210</v>
      </c>
      <c r="I31" s="6" t="s">
        <v>211</v>
      </c>
      <c r="J31" s="6" t="s">
        <v>194</v>
      </c>
    </row>
    <row r="33" spans="4:10" x14ac:dyDescent="0.2">
      <c r="D33" s="6" t="s">
        <v>211</v>
      </c>
      <c r="I33" s="6" t="s">
        <v>212</v>
      </c>
      <c r="J33" s="6" t="s">
        <v>195</v>
      </c>
    </row>
    <row r="34" spans="4:10" x14ac:dyDescent="0.2">
      <c r="I34" s="6" t="s">
        <v>213</v>
      </c>
      <c r="J34" s="6" t="s">
        <v>196</v>
      </c>
    </row>
    <row r="35" spans="4:10" x14ac:dyDescent="0.2">
      <c r="D35" s="6" t="s">
        <v>212</v>
      </c>
    </row>
    <row r="36" spans="4:10" x14ac:dyDescent="0.2">
      <c r="D36" s="6" t="s">
        <v>213</v>
      </c>
      <c r="I36" s="6" t="s">
        <v>214</v>
      </c>
      <c r="J36" s="6" t="s">
        <v>197</v>
      </c>
    </row>
    <row r="37" spans="4:10" x14ac:dyDescent="0.2">
      <c r="I37" s="6" t="s">
        <v>77</v>
      </c>
      <c r="J37" s="6" t="s">
        <v>198</v>
      </c>
    </row>
    <row r="38" spans="4:10" x14ac:dyDescent="0.2">
      <c r="D38" s="6" t="s">
        <v>214</v>
      </c>
    </row>
    <row r="39" spans="4:10" x14ac:dyDescent="0.2">
      <c r="D39" s="6" t="s">
        <v>77</v>
      </c>
      <c r="E39" s="6" t="s">
        <v>183</v>
      </c>
    </row>
    <row r="40" spans="4:10" x14ac:dyDescent="0.2">
      <c r="D40" s="6" t="s">
        <v>184</v>
      </c>
    </row>
    <row r="41" spans="4:10" x14ac:dyDescent="0.2">
      <c r="D41" s="6" t="s">
        <v>185</v>
      </c>
    </row>
    <row r="42" spans="4:10" x14ac:dyDescent="0.2">
      <c r="D42" s="6" t="s">
        <v>186</v>
      </c>
    </row>
    <row r="44" spans="4:10" x14ac:dyDescent="0.2">
      <c r="D44" s="6" t="s">
        <v>187</v>
      </c>
    </row>
    <row r="45" spans="4:10" x14ac:dyDescent="0.2">
      <c r="D45" s="6" t="s">
        <v>188</v>
      </c>
    </row>
    <row r="46" spans="4:10" x14ac:dyDescent="0.2">
      <c r="D46" s="6" t="s">
        <v>189</v>
      </c>
    </row>
    <row r="48" spans="4:10" x14ac:dyDescent="0.2">
      <c r="D48" s="6" t="s">
        <v>190</v>
      </c>
    </row>
    <row r="50" spans="4:4" x14ac:dyDescent="0.2">
      <c r="D50" s="6" t="s">
        <v>191</v>
      </c>
    </row>
    <row r="52" spans="4:4" x14ac:dyDescent="0.2">
      <c r="D52" s="6" t="s">
        <v>192</v>
      </c>
    </row>
    <row r="54" spans="4:4" x14ac:dyDescent="0.2">
      <c r="D54" s="6" t="s">
        <v>193</v>
      </c>
    </row>
    <row r="56" spans="4:4" x14ac:dyDescent="0.2">
      <c r="D56" s="6" t="s">
        <v>194</v>
      </c>
    </row>
    <row r="58" spans="4:4" x14ac:dyDescent="0.2">
      <c r="D58" s="6" t="s">
        <v>195</v>
      </c>
    </row>
    <row r="59" spans="4:4" x14ac:dyDescent="0.2">
      <c r="D59" s="6" t="s">
        <v>196</v>
      </c>
    </row>
    <row r="60" spans="4:4" x14ac:dyDescent="0.2">
      <c r="D60" s="6" t="s">
        <v>197</v>
      </c>
    </row>
    <row r="61" spans="4:4" x14ac:dyDescent="0.2">
      <c r="D61" s="6" t="s">
        <v>198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BF744-FC46-9F48-92B0-B1863F4EAC33}">
  <dimension ref="C4:N28"/>
  <sheetViews>
    <sheetView topLeftCell="I1" zoomScale="177" workbookViewId="0">
      <selection activeCell="N19" sqref="K5:N19"/>
    </sheetView>
  </sheetViews>
  <sheetFormatPr baseColWidth="10" defaultRowHeight="16" x14ac:dyDescent="0.2"/>
  <cols>
    <col min="11" max="11" width="25.1640625" customWidth="1"/>
    <col min="12" max="12" width="28.5" customWidth="1"/>
    <col min="13" max="13" width="37.1640625" customWidth="1"/>
    <col min="14" max="14" width="25.33203125" customWidth="1"/>
  </cols>
  <sheetData>
    <row r="4" spans="3:14" ht="17" thickBot="1" x14ac:dyDescent="0.25"/>
    <row r="5" spans="3:14" ht="33" thickBot="1" x14ac:dyDescent="0.25">
      <c r="C5" s="18" t="s">
        <v>133</v>
      </c>
      <c r="D5" s="19" t="s">
        <v>134</v>
      </c>
      <c r="E5" s="19" t="s">
        <v>135</v>
      </c>
      <c r="F5" s="19" t="s">
        <v>136</v>
      </c>
      <c r="G5" s="19" t="s">
        <v>137</v>
      </c>
      <c r="K5" s="33" t="s">
        <v>133</v>
      </c>
      <c r="L5" s="44" t="s">
        <v>135</v>
      </c>
      <c r="M5" s="44" t="s">
        <v>136</v>
      </c>
      <c r="N5" s="33" t="s">
        <v>137</v>
      </c>
    </row>
    <row r="6" spans="3:14" ht="29" customHeight="1" thickBot="1" x14ac:dyDescent="0.25">
      <c r="C6" s="20"/>
      <c r="D6" s="21"/>
      <c r="E6" s="21"/>
      <c r="F6" s="21"/>
      <c r="G6" s="21"/>
      <c r="K6" s="45" t="s">
        <v>140</v>
      </c>
      <c r="L6" s="46" t="s">
        <v>361</v>
      </c>
      <c r="M6" s="46" t="s">
        <v>163</v>
      </c>
      <c r="N6" s="45"/>
    </row>
    <row r="7" spans="3:14" ht="29" customHeight="1" thickBot="1" x14ac:dyDescent="0.25">
      <c r="C7" s="20"/>
      <c r="D7" s="21"/>
      <c r="E7" s="21"/>
      <c r="F7" s="21"/>
      <c r="G7" s="21"/>
      <c r="K7" s="47" t="s">
        <v>484</v>
      </c>
      <c r="L7" s="48" t="s">
        <v>308</v>
      </c>
      <c r="M7" s="48" t="s">
        <v>164</v>
      </c>
      <c r="N7" s="47" t="s">
        <v>361</v>
      </c>
    </row>
    <row r="8" spans="3:14" ht="35" thickBot="1" x14ac:dyDescent="0.25">
      <c r="C8" s="20"/>
      <c r="D8" s="21"/>
      <c r="E8" s="21"/>
      <c r="F8" s="21"/>
      <c r="G8" s="21"/>
      <c r="K8" s="45" t="s">
        <v>144</v>
      </c>
      <c r="L8" s="46" t="s">
        <v>5</v>
      </c>
      <c r="M8" s="46" t="s">
        <v>168</v>
      </c>
      <c r="N8" s="45" t="s">
        <v>1</v>
      </c>
    </row>
    <row r="9" spans="3:14" ht="35" thickBot="1" x14ac:dyDescent="0.25">
      <c r="C9" s="20"/>
      <c r="D9" s="21"/>
      <c r="E9" s="21"/>
      <c r="F9" s="21"/>
      <c r="G9" s="21"/>
      <c r="K9" s="47" t="s">
        <v>138</v>
      </c>
      <c r="L9" s="48" t="s">
        <v>0</v>
      </c>
      <c r="M9" s="48" t="s">
        <v>162</v>
      </c>
      <c r="N9" s="47" t="s">
        <v>1</v>
      </c>
    </row>
    <row r="10" spans="3:14" ht="69" thickBot="1" x14ac:dyDescent="0.25">
      <c r="C10" s="20"/>
      <c r="D10" s="21"/>
      <c r="E10" s="21"/>
      <c r="F10" s="21"/>
      <c r="G10" s="21"/>
      <c r="K10" s="45" t="s">
        <v>143</v>
      </c>
      <c r="L10" s="46" t="s">
        <v>2</v>
      </c>
      <c r="M10" s="46" t="s">
        <v>165</v>
      </c>
      <c r="N10" s="45" t="s">
        <v>1</v>
      </c>
    </row>
    <row r="11" spans="3:14" ht="35" thickBot="1" x14ac:dyDescent="0.25">
      <c r="C11" s="20"/>
      <c r="D11" s="21"/>
      <c r="E11" s="21"/>
      <c r="F11" s="21"/>
      <c r="G11" s="21"/>
      <c r="K11" s="47" t="s">
        <v>141</v>
      </c>
      <c r="L11" s="48" t="s">
        <v>3</v>
      </c>
      <c r="M11" s="48" t="s">
        <v>166</v>
      </c>
      <c r="N11" s="47" t="s">
        <v>1</v>
      </c>
    </row>
    <row r="12" spans="3:14" ht="69" thickBot="1" x14ac:dyDescent="0.25">
      <c r="C12" s="20"/>
      <c r="D12" s="21"/>
      <c r="E12" s="21"/>
      <c r="F12" s="21"/>
      <c r="G12" s="21"/>
      <c r="K12" s="45" t="s">
        <v>142</v>
      </c>
      <c r="L12" s="46" t="s">
        <v>4</v>
      </c>
      <c r="M12" s="46" t="s">
        <v>167</v>
      </c>
      <c r="N12" s="45" t="s">
        <v>1</v>
      </c>
    </row>
    <row r="13" spans="3:14" ht="86" thickBot="1" x14ac:dyDescent="0.25">
      <c r="K13" s="47" t="s">
        <v>145</v>
      </c>
      <c r="L13" s="48" t="s">
        <v>6</v>
      </c>
      <c r="M13" s="48" t="s">
        <v>172</v>
      </c>
      <c r="N13" s="47" t="s">
        <v>1</v>
      </c>
    </row>
    <row r="14" spans="3:14" ht="86" thickBot="1" x14ac:dyDescent="0.25">
      <c r="K14" s="45" t="s">
        <v>154</v>
      </c>
      <c r="L14" s="46" t="s">
        <v>12</v>
      </c>
      <c r="M14" s="46" t="s">
        <v>172</v>
      </c>
      <c r="N14" s="45" t="s">
        <v>1</v>
      </c>
    </row>
    <row r="15" spans="3:14" ht="52" thickBot="1" x14ac:dyDescent="0.25">
      <c r="K15" s="47" t="s">
        <v>155</v>
      </c>
      <c r="L15" s="48" t="s">
        <v>14</v>
      </c>
      <c r="M15" s="48" t="s">
        <v>170</v>
      </c>
      <c r="N15" s="47" t="s">
        <v>1</v>
      </c>
    </row>
    <row r="16" spans="3:14" ht="52" thickBot="1" x14ac:dyDescent="0.25">
      <c r="K16" s="45" t="s">
        <v>161</v>
      </c>
      <c r="L16" s="46" t="s">
        <v>13</v>
      </c>
      <c r="M16" s="46" t="s">
        <v>170</v>
      </c>
      <c r="N16" s="45" t="s">
        <v>1</v>
      </c>
    </row>
    <row r="17" spans="11:14" ht="52" thickBot="1" x14ac:dyDescent="0.25">
      <c r="K17" s="47" t="s">
        <v>156</v>
      </c>
      <c r="L17" s="48" t="s">
        <v>15</v>
      </c>
      <c r="M17" s="48" t="s">
        <v>170</v>
      </c>
      <c r="N17" s="47" t="s">
        <v>1</v>
      </c>
    </row>
    <row r="18" spans="11:14" ht="52" thickBot="1" x14ac:dyDescent="0.25">
      <c r="K18" s="45" t="s">
        <v>153</v>
      </c>
      <c r="L18" s="46" t="s">
        <v>7</v>
      </c>
      <c r="M18" s="46" t="s">
        <v>170</v>
      </c>
      <c r="N18" s="45" t="s">
        <v>1</v>
      </c>
    </row>
    <row r="19" spans="11:14" ht="52" thickBot="1" x14ac:dyDescent="0.25">
      <c r="K19" s="47" t="s">
        <v>152</v>
      </c>
      <c r="L19" s="48" t="s">
        <v>19</v>
      </c>
      <c r="M19" s="48" t="s">
        <v>170</v>
      </c>
      <c r="N19" s="47" t="s">
        <v>1</v>
      </c>
    </row>
    <row r="20" spans="11:14" ht="52" thickBot="1" x14ac:dyDescent="0.25">
      <c r="K20" s="45" t="s">
        <v>149</v>
      </c>
      <c r="L20" s="46" t="s">
        <v>18</v>
      </c>
      <c r="M20" s="46" t="s">
        <v>170</v>
      </c>
      <c r="N20" s="45" t="s">
        <v>1</v>
      </c>
    </row>
    <row r="21" spans="11:14" ht="52" thickBot="1" x14ac:dyDescent="0.25">
      <c r="K21" s="47" t="s">
        <v>148</v>
      </c>
      <c r="L21" s="48" t="s">
        <v>17</v>
      </c>
      <c r="M21" s="48" t="s">
        <v>170</v>
      </c>
      <c r="N21" s="47" t="s">
        <v>1</v>
      </c>
    </row>
    <row r="22" spans="11:14" ht="52" thickBot="1" x14ac:dyDescent="0.25">
      <c r="K22" s="45" t="s">
        <v>147</v>
      </c>
      <c r="L22" s="46" t="s">
        <v>16</v>
      </c>
      <c r="M22" s="46" t="s">
        <v>170</v>
      </c>
      <c r="N22" s="45" t="s">
        <v>1</v>
      </c>
    </row>
    <row r="23" spans="11:14" ht="52" thickBot="1" x14ac:dyDescent="0.25">
      <c r="K23" s="47" t="s">
        <v>146</v>
      </c>
      <c r="L23" s="48" t="s">
        <v>8</v>
      </c>
      <c r="M23" s="48" t="s">
        <v>170</v>
      </c>
      <c r="N23" s="47" t="s">
        <v>1</v>
      </c>
    </row>
    <row r="24" spans="11:14" ht="52" thickBot="1" x14ac:dyDescent="0.25">
      <c r="K24" s="45" t="s">
        <v>151</v>
      </c>
      <c r="L24" s="46" t="s">
        <v>9</v>
      </c>
      <c r="M24" s="46" t="s">
        <v>169</v>
      </c>
      <c r="N24" s="45" t="s">
        <v>1</v>
      </c>
    </row>
    <row r="25" spans="11:14" ht="86" thickBot="1" x14ac:dyDescent="0.25">
      <c r="K25" s="47" t="s">
        <v>139</v>
      </c>
      <c r="L25" s="48" t="s">
        <v>10</v>
      </c>
      <c r="M25" s="48" t="s">
        <v>171</v>
      </c>
      <c r="N25" s="47" t="s">
        <v>1</v>
      </c>
    </row>
    <row r="26" spans="11:14" ht="69" thickBot="1" x14ac:dyDescent="0.25">
      <c r="K26" s="45" t="s">
        <v>150</v>
      </c>
      <c r="L26" s="46" t="s">
        <v>11</v>
      </c>
      <c r="M26" s="46" t="s">
        <v>173</v>
      </c>
      <c r="N26" s="45" t="s">
        <v>1</v>
      </c>
    </row>
    <row r="27" spans="11:14" ht="52" thickBot="1" x14ac:dyDescent="0.25">
      <c r="K27" s="47" t="s">
        <v>160</v>
      </c>
      <c r="L27" s="48" t="s">
        <v>157</v>
      </c>
      <c r="M27" s="48" t="s">
        <v>174</v>
      </c>
      <c r="N27" s="47" t="s">
        <v>361</v>
      </c>
    </row>
    <row r="28" spans="11:14" ht="52" thickBot="1" x14ac:dyDescent="0.25">
      <c r="K28" s="45" t="s">
        <v>159</v>
      </c>
      <c r="L28" s="46" t="s">
        <v>158</v>
      </c>
      <c r="M28" s="46" t="s">
        <v>175</v>
      </c>
      <c r="N28" s="45" t="s">
        <v>361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5FFA7-919F-8249-BD8B-034938D5A862}">
  <dimension ref="D4:P12"/>
  <sheetViews>
    <sheetView topLeftCell="A3" workbookViewId="0">
      <selection activeCell="K7" sqref="K7:P12"/>
    </sheetView>
  </sheetViews>
  <sheetFormatPr baseColWidth="10" defaultRowHeight="16" x14ac:dyDescent="0.2"/>
  <cols>
    <col min="11" max="11" width="21" customWidth="1"/>
    <col min="15" max="15" width="16.5" customWidth="1"/>
    <col min="16" max="16" width="24.33203125" customWidth="1"/>
  </cols>
  <sheetData>
    <row r="4" spans="4:16" ht="17" thickBot="1" x14ac:dyDescent="0.25">
      <c r="D4" t="s">
        <v>215</v>
      </c>
    </row>
    <row r="5" spans="4:16" ht="52" thickBot="1" x14ac:dyDescent="0.25">
      <c r="D5" t="s">
        <v>216</v>
      </c>
      <c r="K5" s="33" t="s">
        <v>220</v>
      </c>
      <c r="L5" s="44" t="s">
        <v>221</v>
      </c>
      <c r="M5" s="44" t="s">
        <v>222</v>
      </c>
      <c r="N5" s="33" t="s">
        <v>223</v>
      </c>
      <c r="O5" s="44" t="s">
        <v>224</v>
      </c>
      <c r="P5" s="44" t="s">
        <v>225</v>
      </c>
    </row>
    <row r="6" spans="4:16" ht="120" thickBot="1" x14ac:dyDescent="0.25">
      <c r="D6" t="s">
        <v>217</v>
      </c>
      <c r="K6" s="47" t="s">
        <v>215</v>
      </c>
      <c r="L6" s="48">
        <v>4</v>
      </c>
      <c r="M6" s="48">
        <v>4</v>
      </c>
      <c r="N6" s="50">
        <v>4</v>
      </c>
      <c r="O6" s="48" t="s">
        <v>226</v>
      </c>
      <c r="P6" s="48" t="s">
        <v>235</v>
      </c>
    </row>
    <row r="7" spans="4:16" ht="120" thickBot="1" x14ac:dyDescent="0.25">
      <c r="D7" t="s">
        <v>218</v>
      </c>
      <c r="K7" s="47" t="s">
        <v>216</v>
      </c>
      <c r="L7" s="48">
        <v>4</v>
      </c>
      <c r="M7" s="48">
        <v>4</v>
      </c>
      <c r="N7" s="50">
        <v>4</v>
      </c>
      <c r="O7" s="48" t="s">
        <v>228</v>
      </c>
      <c r="P7" s="48" t="s">
        <v>227</v>
      </c>
    </row>
    <row r="8" spans="4:16" ht="86" thickBot="1" x14ac:dyDescent="0.25">
      <c r="D8" t="s">
        <v>219</v>
      </c>
      <c r="K8" s="47" t="s">
        <v>233</v>
      </c>
      <c r="L8" s="48">
        <v>4</v>
      </c>
      <c r="M8" s="48">
        <v>4</v>
      </c>
      <c r="N8" s="50">
        <v>4</v>
      </c>
      <c r="O8" s="48" t="s">
        <v>228</v>
      </c>
      <c r="P8" s="48" t="s">
        <v>234</v>
      </c>
    </row>
    <row r="9" spans="4:16" ht="120" thickBot="1" x14ac:dyDescent="0.25">
      <c r="K9" s="47" t="s">
        <v>217</v>
      </c>
      <c r="L9" s="48">
        <v>9</v>
      </c>
      <c r="M9" s="48">
        <v>9</v>
      </c>
      <c r="N9" s="51">
        <v>9</v>
      </c>
      <c r="O9" s="48" t="s">
        <v>3</v>
      </c>
      <c r="P9" s="48" t="s">
        <v>229</v>
      </c>
    </row>
    <row r="10" spans="4:16" ht="103" thickBot="1" x14ac:dyDescent="0.25">
      <c r="K10" s="47" t="s">
        <v>236</v>
      </c>
      <c r="L10" s="48">
        <v>9</v>
      </c>
      <c r="M10" s="48">
        <v>9</v>
      </c>
      <c r="N10" s="51">
        <v>9</v>
      </c>
      <c r="O10" s="48" t="s">
        <v>228</v>
      </c>
      <c r="P10" s="48" t="s">
        <v>237</v>
      </c>
    </row>
    <row r="11" spans="4:16" ht="120" thickBot="1" x14ac:dyDescent="0.25">
      <c r="K11" s="47" t="s">
        <v>218</v>
      </c>
      <c r="L11" s="48">
        <v>6</v>
      </c>
      <c r="M11" s="48">
        <v>6</v>
      </c>
      <c r="N11" s="52">
        <v>6</v>
      </c>
      <c r="O11" s="48" t="s">
        <v>230</v>
      </c>
      <c r="P11" s="48" t="s">
        <v>232</v>
      </c>
    </row>
    <row r="12" spans="4:16" ht="120" thickBot="1" x14ac:dyDescent="0.25">
      <c r="K12" s="47" t="s">
        <v>219</v>
      </c>
      <c r="L12" s="48">
        <v>6</v>
      </c>
      <c r="M12" s="48">
        <v>6</v>
      </c>
      <c r="N12" s="52">
        <v>6</v>
      </c>
      <c r="O12" s="48" t="s">
        <v>4</v>
      </c>
      <c r="P12" s="48" t="s">
        <v>231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D2FE4-ED09-724B-BD1B-7A0B959BAC3F}">
  <dimension ref="D7:F10"/>
  <sheetViews>
    <sheetView workbookViewId="0">
      <selection activeCell="J9" sqref="J9"/>
    </sheetView>
  </sheetViews>
  <sheetFormatPr baseColWidth="10" defaultRowHeight="16" x14ac:dyDescent="0.2"/>
  <sheetData>
    <row r="7" spans="4:6" ht="17" thickBot="1" x14ac:dyDescent="0.25"/>
    <row r="8" spans="4:6" ht="33" thickBot="1" x14ac:dyDescent="0.25">
      <c r="D8" s="18" t="s">
        <v>278</v>
      </c>
      <c r="E8" s="19" t="s">
        <v>124</v>
      </c>
      <c r="F8" s="19" t="s">
        <v>279</v>
      </c>
    </row>
    <row r="9" spans="4:6" ht="17" thickBot="1" x14ac:dyDescent="0.25">
      <c r="D9" s="20"/>
      <c r="E9" s="21"/>
      <c r="F9" s="21"/>
    </row>
    <row r="10" spans="4:6" ht="17" thickBot="1" x14ac:dyDescent="0.25">
      <c r="D10" s="20"/>
      <c r="E10" s="21"/>
      <c r="F10" s="21"/>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DD6B8-4594-334A-AB35-D703BA6D7CAD}">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Sheet1</vt:lpstr>
      <vt:lpstr>Sheet12</vt:lpstr>
      <vt:lpstr>Sheet18</vt:lpstr>
      <vt:lpstr>Sheet17</vt:lpstr>
      <vt:lpstr>Sheet11</vt:lpstr>
      <vt:lpstr>Sheet16</vt:lpstr>
      <vt:lpstr>Sheet14</vt:lpstr>
      <vt:lpstr>Sheet0</vt:lpstr>
      <vt:lpstr>Sheet7</vt:lpstr>
      <vt:lpstr>Sheet8</vt:lpstr>
      <vt:lpstr>Sheet10</vt:lpstr>
      <vt:lpstr>Annual Salary</vt:lpstr>
      <vt:lpstr>Sheet3</vt:lpstr>
      <vt:lpstr>Sheet4</vt:lpstr>
      <vt:lpstr>Sheet5</vt:lpstr>
      <vt:lpstr>Sheet2</vt:lpstr>
      <vt:lpstr>Sheet6</vt:lpstr>
      <vt:lpstr>Sheet9</vt:lpstr>
      <vt:lpstr>Sheet15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GIELO</dc:creator>
  <cp:lastModifiedBy>GIELO</cp:lastModifiedBy>
  <dcterms:created xsi:type="dcterms:W3CDTF">2025-03-20T07:38:10Z</dcterms:created>
  <dcterms:modified xsi:type="dcterms:W3CDTF">2025-03-31T17:36:11Z</dcterms:modified>
</cp:coreProperties>
</file>