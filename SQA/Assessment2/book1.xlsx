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elo\Documents\MAM_repo\SQA\Assessment2\"/>
    </mc:Choice>
  </mc:AlternateContent>
  <xr:revisionPtr revIDLastSave="0" documentId="13_ncr:1_{0FE26CAC-6752-4CC6-9337-858F04653B18}" xr6:coauthVersionLast="47" xr6:coauthVersionMax="47" xr10:uidLastSave="{00000000-0000-0000-0000-000000000000}"/>
  <bookViews>
    <workbookView xWindow="-120" yWindow="-120" windowWidth="24240" windowHeight="13140" activeTab="3" xr2:uid="{3EEEB06C-0A77-4DFF-B16D-71073CA3EB89}"/>
  </bookViews>
  <sheets>
    <sheet name="Sheet1" sheetId="1" r:id="rId1"/>
    <sheet name="Sheet2" sheetId="2" r:id="rId2"/>
    <sheet name="Sheet6" sheetId="7" r:id="rId3"/>
    <sheet name="Sheet7" sheetId="8" r:id="rId4"/>
    <sheet name="Sheet4" sheetId="4" r:id="rId5"/>
    <sheet name="Sheet3" sheetId="5" r:id="rId6"/>
    <sheet name="Sheet5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<sst xmlns="http://schemas.openxmlformats.org/spreadsheetml/2006/main" count="265" uniqueCount="147">
  <si>
    <t>Executive Summary</t>
  </si>
  <si>
    <t>Introduction</t>
  </si>
  <si>
    <t xml:space="preserve">QA Methodologies and Framework </t>
  </si>
  <si>
    <t>Evaluation of QA Tools and Approaches</t>
  </si>
  <si>
    <t>Risk Analysis and Recommendation</t>
  </si>
  <si>
    <t xml:space="preserve">Future Trends and Strategic Integration </t>
  </si>
  <si>
    <t>Conclusion</t>
  </si>
  <si>
    <t>RACI Matrix</t>
  </si>
  <si>
    <t>Function</t>
  </si>
  <si>
    <t>QA Strategy &amp; Governance</t>
  </si>
  <si>
    <t>Board</t>
  </si>
  <si>
    <t>CIO/CTO</t>
  </si>
  <si>
    <t>QA Manager</t>
  </si>
  <si>
    <t>Engineering Leads</t>
  </si>
  <si>
    <t>Developers</t>
  </si>
  <si>
    <t>Vendors</t>
  </si>
  <si>
    <t>Security / Compliance</t>
  </si>
  <si>
    <t>Test Process Definition</t>
  </si>
  <si>
    <t>Automation &amp; Tooling</t>
  </si>
  <si>
    <t>Release Quality Gates</t>
  </si>
  <si>
    <t>Security &amp; Privacy Testing</t>
  </si>
  <si>
    <t>Incident &amp; Defect Management</t>
  </si>
  <si>
    <t>Vendor QA Oversight</t>
  </si>
  <si>
    <t>Informed</t>
  </si>
  <si>
    <t>Responsible</t>
  </si>
  <si>
    <t>Accountable</t>
  </si>
  <si>
    <t>Consulted</t>
  </si>
  <si>
    <t>Legend</t>
  </si>
  <si>
    <t>Activity/Process</t>
  </si>
  <si>
    <t>Executive Leadership (ExCo)</t>
  </si>
  <si>
    <t>Compliance &amp; Risk Management</t>
  </si>
  <si>
    <t>Actuarial &amp; Pricing</t>
  </si>
  <si>
    <t>Underwriting Team</t>
  </si>
  <si>
    <t>Claims Administration</t>
  </si>
  <si>
    <t>IT/DevOps</t>
  </si>
  <si>
    <t>Sales &amp; Travel Agents</t>
  </si>
  <si>
    <t>1. Defining/Approving Annual Strategic Priorities</t>
  </si>
  <si>
    <t>A</t>
  </si>
  <si>
    <t>C</t>
  </si>
  <si>
    <t>I</t>
  </si>
  <si>
    <t>2. Setting Regulatory Policy &amp; Mandatory Training</t>
  </si>
  <si>
    <t>R</t>
  </si>
  <si>
    <t>3. Risk Assessment and Issuing New Policy</t>
  </si>
  <si>
    <t>4. Processing and Settling a Claim</t>
  </si>
  <si>
    <t>5. Developing &amp; Deploying New Digital Systems</t>
  </si>
  <si>
    <t>6. Continuous Process Improvement (e.g., LSS/Agile)</t>
  </si>
  <si>
    <t>Plan</t>
  </si>
  <si>
    <t>Determine factors that may cause deviation from planned underwriting or reserving results (ezrahovich2017)</t>
  </si>
  <si>
    <t>Analyze and prioritize risks (both negative risks/threats and positive risks/opportunities) based on available knowledge, potential problems, and the cost of treatment (Sitnikov)</t>
  </si>
  <si>
    <t>Plan the necessary actions to approach the identified risks and opportunities (Sitnikov)</t>
  </si>
  <si>
    <t>Establish a clear structure for risk management policies and allocate resources (Implementation of the risk management plan) (Sitnikov)</t>
  </si>
  <si>
    <t>Do</t>
  </si>
  <si>
    <t>Implement the established risk management plan and procedures (Sitnikov)</t>
  </si>
  <si>
    <t>Implement complex measures to reduce risk probability (mitigation) in critical systems, as defined in the planning phase (ezrahovich2017)</t>
  </si>
  <si>
    <t>Check</t>
  </si>
  <si>
    <t>Verify the efficiency of the plan by monitoring, measuring, analyzing, and assessing risks and opportunities, often alongside the client investor (Sitnikov)</t>
  </si>
  <si>
    <t>Apply control instruments necessary to ensure risks are kept at an acceptable level (Sitnikov)</t>
  </si>
  <si>
    <t>Review results of internal audits or independent assessments (3.1.ris)</t>
  </si>
  <si>
    <t>Act</t>
  </si>
  <si>
    <t>Maintain and improve the management system (3.1.ris)</t>
  </si>
  <si>
    <t>Based on the study's conclusions, modify or re-evaluate the investment profile or risk tolerance curve as a result of subsequent changes (sitnikov)</t>
  </si>
  <si>
    <t>Act on deviations from targets and set new targets (3.1.ris)</t>
  </si>
  <si>
    <t>Time Period</t>
  </si>
  <si>
    <t>Complete Migration to Cloud Native System</t>
  </si>
  <si>
    <t>0-12 months</t>
  </si>
  <si>
    <t>12-24 months</t>
  </si>
  <si>
    <t>Cloud Native System Training</t>
  </si>
  <si>
    <t>Adoption of low code environments</t>
  </si>
  <si>
    <t>24-27 months</t>
  </si>
  <si>
    <t>Adoption of Intelligent Process Automation</t>
  </si>
  <si>
    <t>27-33 months</t>
  </si>
  <si>
    <t>33-39 months</t>
  </si>
  <si>
    <t>Integrate use of AI in processes</t>
  </si>
  <si>
    <t>Adoption of Blockchain technology</t>
  </si>
  <si>
    <t>39-45 months</t>
  </si>
  <si>
    <t>45-48</t>
  </si>
  <si>
    <t>Adoption of Compliance-As-Code</t>
  </si>
  <si>
    <t>Metrics</t>
  </si>
  <si>
    <t>Roles Required</t>
  </si>
  <si>
    <t>Cloud Engineer, QA Lead</t>
  </si>
  <si>
    <t>AI Engineer, QA Lead</t>
  </si>
  <si>
    <t>Cloud Engineer, Business Analyst, QA Lead</t>
  </si>
  <si>
    <t>Senior Blockchain Architect, QA Lead, Business Analyst</t>
  </si>
  <si>
    <t>Cloud Engineer, Performance Engineer, Security Engineer</t>
  </si>
  <si>
    <t>Employees are knowledgeable about 80% of the Cloud Native System</t>
  </si>
  <si>
    <t>100% Migration</t>
  </si>
  <si>
    <t>100% Adoption</t>
  </si>
  <si>
    <t>30% Adoption, more to follow if successful</t>
  </si>
  <si>
    <t>Task / Activity</t>
  </si>
  <si>
    <t>RMU</t>
  </si>
  <si>
    <t>ACT</t>
  </si>
  <si>
    <t>PSD</t>
  </si>
  <si>
    <t>CLAIMS</t>
  </si>
  <si>
    <t>S&amp;M</t>
  </si>
  <si>
    <t>QA</t>
  </si>
  <si>
    <t>EXEC</t>
  </si>
  <si>
    <t>Define &amp; document quality processes</t>
  </si>
  <si>
    <t>Implement Risk-Based Thinking (RBT)</t>
  </si>
  <si>
    <t>Ensure regulatory compliance</t>
  </si>
  <si>
    <t>Internal audits &amp; quality assurance</t>
  </si>
  <si>
    <r>
      <t>RMU</t>
    </r>
    <r>
      <rPr>
        <sz val="11"/>
        <color theme="1"/>
        <rFont val="Aptos Narrow"/>
        <family val="2"/>
        <scheme val="minor"/>
      </rPr>
      <t xml:space="preserve"> – Risk Management &amp; Underwriting</t>
    </r>
  </si>
  <si>
    <r>
      <t>ACT</t>
    </r>
    <r>
      <rPr>
        <sz val="11"/>
        <color theme="1"/>
        <rFont val="Aptos Narrow"/>
        <family val="2"/>
        <scheme val="minor"/>
      </rPr>
      <t xml:space="preserve"> – Actuarial</t>
    </r>
  </si>
  <si>
    <r>
      <t>PSD</t>
    </r>
    <r>
      <rPr>
        <sz val="11"/>
        <color theme="1"/>
        <rFont val="Aptos Narrow"/>
        <family val="2"/>
        <scheme val="minor"/>
      </rPr>
      <t xml:space="preserve"> – Product &amp; Service Development</t>
    </r>
  </si>
  <si>
    <r>
      <t>CLAIMS</t>
    </r>
    <r>
      <rPr>
        <sz val="11"/>
        <color theme="1"/>
        <rFont val="Aptos Narrow"/>
        <family val="2"/>
        <scheme val="minor"/>
      </rPr>
      <t xml:space="preserve"> – Claims Management &amp; Administration</t>
    </r>
  </si>
  <si>
    <r>
      <t>S&amp;M</t>
    </r>
    <r>
      <rPr>
        <sz val="11"/>
        <color theme="1"/>
        <rFont val="Aptos Narrow"/>
        <family val="2"/>
        <scheme val="minor"/>
      </rPr>
      <t xml:space="preserve"> – Sales &amp; Marketing</t>
    </r>
  </si>
  <si>
    <r>
      <t>IT/DevOps</t>
    </r>
    <r>
      <rPr>
        <sz val="11"/>
        <color theme="1"/>
        <rFont val="Aptos Narrow"/>
        <family val="2"/>
        <scheme val="minor"/>
      </rPr>
      <t xml:space="preserve"> – Development, Operations &amp; DevSecOps</t>
    </r>
  </si>
  <si>
    <r>
      <t>QA</t>
    </r>
    <r>
      <rPr>
        <sz val="11"/>
        <color theme="1"/>
        <rFont val="Aptos Narrow"/>
        <family val="2"/>
        <scheme val="minor"/>
      </rPr>
      <t xml:space="preserve"> – Quality Assurance / Compliance</t>
    </r>
  </si>
  <si>
    <r>
      <t>EXEC</t>
    </r>
    <r>
      <rPr>
        <sz val="11"/>
        <color theme="1"/>
        <rFont val="Aptos Narrow"/>
        <family val="2"/>
        <scheme val="minor"/>
      </rPr>
      <t xml:space="preserve"> – Executive Leadership</t>
    </r>
  </si>
  <si>
    <t>Map &amp; analyze current processes</t>
  </si>
  <si>
    <t>Identify wastes, defects, root causes</t>
  </si>
  <si>
    <t>Implement process improvements</t>
  </si>
  <si>
    <t>Monitor performance metrics</t>
  </si>
  <si>
    <t>Lean</t>
  </si>
  <si>
    <t>ISO 9001</t>
  </si>
  <si>
    <t>Define requirements &amp; user stories</t>
  </si>
  <si>
    <t>Sprint planning &amp; review</t>
  </si>
  <si>
    <t>Continuous customer feedback integration</t>
  </si>
  <si>
    <t>Rapid product/feature adaptation</t>
  </si>
  <si>
    <t>Agile</t>
  </si>
  <si>
    <t>Automate CI/CD pipelines</t>
  </si>
  <si>
    <t>Embed security checks (DevSecOps)</t>
  </si>
  <si>
    <t>Monitor security, compliance &amp; system reliability</t>
  </si>
  <si>
    <t>Deploy product &amp; system updates</t>
  </si>
  <si>
    <t>DevOps</t>
  </si>
  <si>
    <t>Risk</t>
  </si>
  <si>
    <t>Description</t>
  </si>
  <si>
    <t>Likelihood</t>
  </si>
  <si>
    <t>Impact</t>
  </si>
  <si>
    <t>Risk Level</t>
  </si>
  <si>
    <t>Risk Category</t>
  </si>
  <si>
    <t>Recommended Mitigation</t>
  </si>
  <si>
    <t>Injection Vulnerabilities</t>
  </si>
  <si>
    <t>Attackers inject malicious commands or code into forms, APIs, or input fields. Can lead to data breach, server compromise, or full system takeover.</t>
  </si>
  <si>
    <t>Security Risk</t>
  </si>
  <si>
    <t>Integrate Snyk for early detection of code-based vulnerabilities; implement input validation, parameterized queries, and automated security scans.</t>
  </si>
  <si>
    <t>Late Detection of Compliance Issues</t>
  </si>
  <si>
    <t>Coding standards, readability issues, test gaps, and poor practices discovered late in development, causing rework, delays, and technical debt.</t>
  </si>
  <si>
    <t>Quality / Compliance Risk</t>
  </si>
  <si>
    <t>Introduce automated code quality scanning using SonarQube; enforce coding standards in CI pipeline; adopt shift-left testing practices.</t>
  </si>
  <si>
    <t>Bugs Detected Only in Production</t>
  </si>
  <si>
    <t>Undetected defects built into release artifacts and only discovered by users once deployed. Impacts customer trust and platform stability.</t>
  </si>
  <si>
    <t>Operational Risk</t>
  </si>
  <si>
    <t>Implement rollback strategies; add automated regression testing; use blue–green deployments or canary releases; improve peer-review and CI test coverage.</t>
  </si>
  <si>
    <t>Low</t>
  </si>
  <si>
    <t>Medium</t>
  </si>
  <si>
    <t>High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</si>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</sst>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03030"/>
      <name val="Arial"/>
      <family val="2"/>
    </font>
    <font>
      <b/>
      <sz val="11"/>
      <color rgb="FF30303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0" xfId="0" applyFill="1" applyBorder="1" applyAlignment="1">
      <alignment vertical="center" wrapText="1"/>
    </xf>
    <xf numFmtId="0" fontId="0" fillId="7" borderId="1" xfId="0" applyFill="1" applyBorder="1"/>
    <xf numFmtId="0" fontId="0" fillId="10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0" borderId="1" xfId="0" applyFont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F4C7-852D-4A70-A60C-CC6CE92952E5}">
  <dimension ref="E10:F17"/>
  <sheetViews>
    <sheetView topLeftCell="A4" workbookViewId="0">
      <selection activeCell="F12" sqref="F12"/>
    </sheetView>
  </sheetViews>
  <sheetFormatPr defaultColWidth="8.85546875" defaultRowHeight="15" x14ac:dyDescent="0.25"/>
  <cols>
    <col min="5" max="5" width="38.85546875" customWidth="1"/>
  </cols>
  <sheetData>
    <row r="10" spans="5:6" x14ac:dyDescent="0.25">
      <c r="E10" t="s">
        <v>0</v>
      </c>
      <c r="F10">
        <v>200</v>
      </c>
    </row>
    <row r="11" spans="5:6" x14ac:dyDescent="0.25">
      <c r="E11" t="s">
        <v>1</v>
      </c>
      <c r="F11">
        <v>300</v>
      </c>
    </row>
    <row r="12" spans="5:6" x14ac:dyDescent="0.25">
      <c r="E12" t="s">
        <v>2</v>
      </c>
      <c r="F12">
        <v>600</v>
      </c>
    </row>
    <row r="13" spans="5:6" x14ac:dyDescent="0.25">
      <c r="E13" t="s">
        <v>3</v>
      </c>
      <c r="F13">
        <v>600</v>
      </c>
    </row>
    <row r="14" spans="5:6" x14ac:dyDescent="0.25">
      <c r="E14" t="s">
        <v>4</v>
      </c>
      <c r="F14">
        <v>600</v>
      </c>
    </row>
    <row r="15" spans="5:6" x14ac:dyDescent="0.25">
      <c r="E15" t="s">
        <v>5</v>
      </c>
      <c r="F15">
        <v>600</v>
      </c>
    </row>
    <row r="16" spans="5:6" x14ac:dyDescent="0.25">
      <c r="E16" t="s">
        <v>6</v>
      </c>
      <c r="F16">
        <v>200</v>
      </c>
    </row>
    <row r="17" spans="6:6" x14ac:dyDescent="0.25">
      <c r="F17">
        <f>SUM(F10:F16)</f>
        <v>3100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51AD-E433-4E2F-AA8B-46214CB01D54}">
  <dimension ref="F8:M23"/>
  <sheetViews>
    <sheetView topLeftCell="A15" zoomScaleNormal="100" workbookViewId="0">
      <selection activeCell="F19" sqref="F19:H22"/>
    </sheetView>
  </sheetViews>
  <sheetFormatPr defaultColWidth="8.85546875" defaultRowHeight="15" x14ac:dyDescent="0.25"/>
  <cols>
    <col min="6" max="6" width="14" customWidth="1"/>
    <col min="7" max="13" width="7.85546875" customWidth="1"/>
  </cols>
  <sheetData>
    <row r="8" spans="6:13" x14ac:dyDescent="0.25">
      <c r="F8" s="5" t="s">
        <v>7</v>
      </c>
    </row>
    <row r="10" spans="6:13" ht="60" x14ac:dyDescent="0.25">
      <c r="F10" s="8" t="s">
        <v>8</v>
      </c>
      <c r="G10" s="8" t="s">
        <v>10</v>
      </c>
      <c r="H10" s="8" t="s">
        <v>11</v>
      </c>
      <c r="I10" s="8" t="s">
        <v>12</v>
      </c>
      <c r="J10" s="8" t="s">
        <v>13</v>
      </c>
      <c r="K10" s="8" t="s">
        <v>14</v>
      </c>
      <c r="L10" s="8" t="s">
        <v>16</v>
      </c>
      <c r="M10" s="8" t="s">
        <v>15</v>
      </c>
    </row>
    <row r="11" spans="6:13" ht="30" x14ac:dyDescent="0.25">
      <c r="F11" s="8" t="s">
        <v>9</v>
      </c>
      <c r="G11" s="11"/>
      <c r="H11" s="12"/>
      <c r="I11" s="13"/>
      <c r="J11" s="14"/>
      <c r="K11" s="14"/>
      <c r="L11" s="13"/>
      <c r="M11" s="14"/>
    </row>
    <row r="12" spans="6:13" ht="30" x14ac:dyDescent="0.25">
      <c r="F12" s="8" t="s">
        <v>17</v>
      </c>
      <c r="G12" s="14"/>
      <c r="H12" s="12"/>
      <c r="I12" s="11"/>
      <c r="J12" s="13"/>
      <c r="K12" s="13"/>
      <c r="L12" s="13"/>
      <c r="M12" s="14"/>
    </row>
    <row r="13" spans="6:13" ht="30" x14ac:dyDescent="0.25">
      <c r="F13" s="8" t="s">
        <v>18</v>
      </c>
      <c r="G13" s="14"/>
      <c r="H13" s="13"/>
      <c r="I13" s="12"/>
      <c r="J13" s="11"/>
      <c r="K13" s="12"/>
      <c r="L13" s="13"/>
      <c r="M13" s="13"/>
    </row>
    <row r="14" spans="6:13" ht="30" x14ac:dyDescent="0.25">
      <c r="F14" s="8" t="s">
        <v>19</v>
      </c>
      <c r="G14" s="14"/>
      <c r="H14" s="12"/>
      <c r="I14" s="11"/>
      <c r="J14" s="12"/>
      <c r="K14" s="13"/>
      <c r="L14" s="13"/>
      <c r="M14" s="13"/>
    </row>
    <row r="15" spans="6:13" ht="45" x14ac:dyDescent="0.25">
      <c r="F15" s="8" t="s">
        <v>20</v>
      </c>
      <c r="G15" s="14"/>
      <c r="H15" s="13"/>
      <c r="I15" s="13"/>
      <c r="J15" s="13"/>
      <c r="K15" s="12"/>
      <c r="L15" s="11"/>
      <c r="M15" s="13"/>
    </row>
    <row r="16" spans="6:13" ht="45" x14ac:dyDescent="0.25">
      <c r="F16" s="8" t="s">
        <v>21</v>
      </c>
      <c r="G16" s="14"/>
      <c r="H16" s="12"/>
      <c r="I16" s="11"/>
      <c r="J16" s="13"/>
      <c r="K16" s="12"/>
      <c r="L16" s="13"/>
      <c r="M16" s="13"/>
    </row>
    <row r="17" spans="6:13" ht="30" x14ac:dyDescent="0.25">
      <c r="F17" s="8" t="s">
        <v>22</v>
      </c>
      <c r="G17" s="13"/>
      <c r="H17" s="11"/>
      <c r="I17" s="12"/>
      <c r="J17" s="13"/>
      <c r="K17" s="14"/>
      <c r="L17" s="13"/>
      <c r="M17" s="12"/>
    </row>
    <row r="18" spans="6:13" ht="33.75" customHeight="1" x14ac:dyDescent="0.25"/>
    <row r="19" spans="6:13" ht="33.75" customHeight="1" x14ac:dyDescent="0.25">
      <c r="F19" t="s">
        <v>27</v>
      </c>
      <c r="G19" s="12"/>
      <c r="H19" s="10" t="s">
        <v>24</v>
      </c>
      <c r="I19" s="10"/>
    </row>
    <row r="20" spans="6:13" ht="33.75" customHeight="1" x14ac:dyDescent="0.25">
      <c r="G20" s="11"/>
      <c r="H20" s="10" t="s">
        <v>25</v>
      </c>
      <c r="I20" s="10"/>
    </row>
    <row r="21" spans="6:13" ht="33.75" customHeight="1" x14ac:dyDescent="0.25">
      <c r="G21" s="13"/>
      <c r="H21" s="10" t="s">
        <v>26</v>
      </c>
      <c r="I21" s="10"/>
    </row>
    <row r="22" spans="6:13" ht="33.75" customHeight="1" x14ac:dyDescent="0.25">
      <c r="G22" s="14"/>
      <c r="H22" s="10" t="s">
        <v>23</v>
      </c>
      <c r="I22" s="10"/>
    </row>
    <row r="23" spans="6:13" ht="33.7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B723-0DDD-47A9-A7EE-B469275624F3}">
  <dimension ref="D3:L37"/>
  <sheetViews>
    <sheetView topLeftCell="A23" workbookViewId="0">
      <selection activeCell="H48" sqref="H48"/>
    </sheetView>
  </sheetViews>
  <sheetFormatPr defaultRowHeight="15" x14ac:dyDescent="0.25"/>
  <cols>
    <col min="4" max="4" width="13.42578125" customWidth="1"/>
    <col min="5" max="12" width="7.5703125" customWidth="1"/>
  </cols>
  <sheetData>
    <row r="3" spans="4:12" x14ac:dyDescent="0.25">
      <c r="D3" t="s">
        <v>27</v>
      </c>
      <c r="E3" s="12"/>
      <c r="F3" s="10" t="s">
        <v>24</v>
      </c>
      <c r="H3" s="19" t="s">
        <v>100</v>
      </c>
    </row>
    <row r="4" spans="4:12" x14ac:dyDescent="0.25">
      <c r="E4" s="11"/>
      <c r="F4" s="10" t="s">
        <v>25</v>
      </c>
      <c r="H4" s="19" t="s">
        <v>101</v>
      </c>
    </row>
    <row r="5" spans="4:12" x14ac:dyDescent="0.25">
      <c r="E5" s="13"/>
      <c r="F5" s="10" t="s">
        <v>26</v>
      </c>
      <c r="H5" s="19" t="s">
        <v>102</v>
      </c>
    </row>
    <row r="6" spans="4:12" x14ac:dyDescent="0.25">
      <c r="E6" s="14"/>
      <c r="F6" s="10" t="s">
        <v>23</v>
      </c>
      <c r="H6" s="19" t="s">
        <v>103</v>
      </c>
    </row>
    <row r="7" spans="4:12" x14ac:dyDescent="0.25">
      <c r="H7" s="19" t="s">
        <v>104</v>
      </c>
    </row>
    <row r="8" spans="4:12" x14ac:dyDescent="0.25">
      <c r="H8" s="19" t="s">
        <v>105</v>
      </c>
    </row>
    <row r="9" spans="4:12" x14ac:dyDescent="0.25">
      <c r="H9" s="19" t="s">
        <v>106</v>
      </c>
    </row>
    <row r="10" spans="4:12" x14ac:dyDescent="0.25">
      <c r="H10" s="19" t="s">
        <v>107</v>
      </c>
    </row>
    <row r="11" spans="4:12" x14ac:dyDescent="0.25">
      <c r="D11" t="s">
        <v>113</v>
      </c>
    </row>
    <row r="12" spans="4:12" ht="30" x14ac:dyDescent="0.25">
      <c r="D12" s="17" t="s">
        <v>88</v>
      </c>
      <c r="E12" s="17" t="s">
        <v>89</v>
      </c>
      <c r="F12" s="17" t="s">
        <v>90</v>
      </c>
      <c r="G12" s="17" t="s">
        <v>91</v>
      </c>
      <c r="H12" s="17" t="s">
        <v>92</v>
      </c>
      <c r="I12" s="17" t="s">
        <v>93</v>
      </c>
      <c r="J12" s="17" t="s">
        <v>34</v>
      </c>
      <c r="K12" s="17" t="s">
        <v>94</v>
      </c>
      <c r="L12" s="17" t="s">
        <v>95</v>
      </c>
    </row>
    <row r="13" spans="4:12" ht="60" x14ac:dyDescent="0.25">
      <c r="D13" s="18" t="s">
        <v>96</v>
      </c>
      <c r="E13" s="11"/>
      <c r="F13" s="13"/>
      <c r="G13" s="13"/>
      <c r="H13" s="13"/>
      <c r="I13" s="13"/>
      <c r="J13" s="13"/>
      <c r="K13" s="12"/>
      <c r="L13" s="14"/>
    </row>
    <row r="14" spans="4:12" ht="60" x14ac:dyDescent="0.25">
      <c r="D14" s="18" t="s">
        <v>97</v>
      </c>
      <c r="E14" s="12"/>
      <c r="F14" s="12"/>
      <c r="G14" s="13"/>
      <c r="H14" s="13"/>
      <c r="I14" s="13"/>
      <c r="J14" s="13"/>
      <c r="K14" s="11"/>
      <c r="L14" s="14"/>
    </row>
    <row r="15" spans="4:12" ht="45" x14ac:dyDescent="0.25">
      <c r="D15" s="18" t="s">
        <v>98</v>
      </c>
      <c r="E15" s="13"/>
      <c r="F15" s="12"/>
      <c r="G15" s="13"/>
      <c r="H15" s="12"/>
      <c r="I15" s="13"/>
      <c r="J15" s="13"/>
      <c r="K15" s="11"/>
      <c r="L15" s="14"/>
    </row>
    <row r="16" spans="4:12" ht="60" x14ac:dyDescent="0.25">
      <c r="D16" s="18" t="s">
        <v>99</v>
      </c>
      <c r="E16" s="14"/>
      <c r="F16" s="14"/>
      <c r="G16" s="14"/>
      <c r="H16" s="14"/>
      <c r="I16" s="14"/>
      <c r="J16" s="14"/>
      <c r="K16" s="12"/>
      <c r="L16" s="11"/>
    </row>
    <row r="18" spans="4:12" x14ac:dyDescent="0.25">
      <c r="D18" s="20" t="s">
        <v>112</v>
      </c>
    </row>
    <row r="19" spans="4:12" ht="30" x14ac:dyDescent="0.25">
      <c r="D19" s="17" t="s">
        <v>88</v>
      </c>
      <c r="E19" s="17" t="s">
        <v>89</v>
      </c>
      <c r="F19" s="17" t="s">
        <v>90</v>
      </c>
      <c r="G19" s="17" t="s">
        <v>91</v>
      </c>
      <c r="H19" s="17" t="s">
        <v>92</v>
      </c>
      <c r="I19" s="17" t="s">
        <v>93</v>
      </c>
      <c r="J19" s="17" t="s">
        <v>34</v>
      </c>
      <c r="K19" s="17" t="s">
        <v>94</v>
      </c>
      <c r="L19" s="17" t="s">
        <v>95</v>
      </c>
    </row>
    <row r="20" spans="4:12" ht="60" x14ac:dyDescent="0.25">
      <c r="D20" s="18" t="s">
        <v>108</v>
      </c>
      <c r="E20" s="12"/>
      <c r="F20" s="12"/>
      <c r="G20" s="12"/>
      <c r="H20" s="11"/>
      <c r="I20" s="13"/>
      <c r="J20" s="13"/>
      <c r="K20" s="13"/>
      <c r="L20" s="14"/>
    </row>
    <row r="21" spans="4:12" ht="60" x14ac:dyDescent="0.25">
      <c r="D21" s="18" t="s">
        <v>109</v>
      </c>
      <c r="E21" s="12"/>
      <c r="F21" s="13"/>
      <c r="G21" s="13"/>
      <c r="H21" s="11"/>
      <c r="I21" s="13"/>
      <c r="J21" s="13"/>
      <c r="K21" s="12"/>
      <c r="L21" s="14"/>
    </row>
    <row r="22" spans="4:12" ht="60" x14ac:dyDescent="0.25">
      <c r="D22" s="18" t="s">
        <v>110</v>
      </c>
      <c r="E22" s="13"/>
      <c r="F22" s="13"/>
      <c r="G22" s="13"/>
      <c r="H22" s="12"/>
      <c r="I22" s="13"/>
      <c r="J22" s="13"/>
      <c r="K22" s="11"/>
      <c r="L22" s="14"/>
    </row>
    <row r="23" spans="4:12" ht="45" x14ac:dyDescent="0.25">
      <c r="D23" s="18" t="s">
        <v>111</v>
      </c>
      <c r="E23" s="12"/>
      <c r="F23" s="11"/>
      <c r="G23" s="13"/>
      <c r="H23" s="12"/>
      <c r="I23" s="12"/>
      <c r="J23" s="13"/>
      <c r="K23" s="13"/>
      <c r="L23" s="14"/>
    </row>
    <row r="25" spans="4:12" x14ac:dyDescent="0.25">
      <c r="D25" s="20" t="s">
        <v>118</v>
      </c>
    </row>
    <row r="26" spans="4:12" ht="30" x14ac:dyDescent="0.25">
      <c r="D26" s="17" t="s">
        <v>88</v>
      </c>
      <c r="E26" s="17" t="s">
        <v>89</v>
      </c>
      <c r="F26" s="17" t="s">
        <v>90</v>
      </c>
      <c r="G26" s="17" t="s">
        <v>91</v>
      </c>
      <c r="H26" s="17" t="s">
        <v>92</v>
      </c>
      <c r="I26" s="17" t="s">
        <v>93</v>
      </c>
      <c r="J26" s="17" t="s">
        <v>34</v>
      </c>
      <c r="K26" s="17" t="s">
        <v>94</v>
      </c>
      <c r="L26" s="17" t="s">
        <v>95</v>
      </c>
    </row>
    <row r="27" spans="4:12" ht="45" x14ac:dyDescent="0.25">
      <c r="D27" s="18" t="s">
        <v>114</v>
      </c>
      <c r="E27" s="13"/>
      <c r="F27" s="13"/>
      <c r="G27" s="11"/>
      <c r="H27" s="13"/>
      <c r="I27" s="12"/>
      <c r="J27" s="12"/>
      <c r="K27" s="13"/>
      <c r="L27" s="14"/>
    </row>
    <row r="28" spans="4:12" ht="45" x14ac:dyDescent="0.25">
      <c r="D28" s="18" t="s">
        <v>115</v>
      </c>
      <c r="E28" s="13"/>
      <c r="F28" s="13"/>
      <c r="G28" s="12"/>
      <c r="H28" s="13"/>
      <c r="I28" s="13"/>
      <c r="J28" s="11"/>
      <c r="K28" s="13"/>
      <c r="L28" s="14"/>
    </row>
    <row r="29" spans="4:12" ht="60" x14ac:dyDescent="0.25">
      <c r="D29" s="18" t="s">
        <v>116</v>
      </c>
      <c r="E29" s="14"/>
      <c r="F29" s="14"/>
      <c r="G29" s="11"/>
      <c r="H29" s="12"/>
      <c r="I29" s="12"/>
      <c r="J29" s="13"/>
      <c r="K29" s="13"/>
      <c r="L29" s="14"/>
    </row>
    <row r="30" spans="4:12" ht="45" x14ac:dyDescent="0.25">
      <c r="D30" s="18" t="s">
        <v>117</v>
      </c>
      <c r="E30" s="13"/>
      <c r="F30" s="13"/>
      <c r="G30" s="12"/>
      <c r="H30" s="12"/>
      <c r="I30" s="11"/>
      <c r="J30" s="13"/>
      <c r="K30" s="13"/>
      <c r="L30" s="14"/>
    </row>
    <row r="32" spans="4:12" x14ac:dyDescent="0.25">
      <c r="D32" s="15" t="s">
        <v>123</v>
      </c>
    </row>
    <row r="33" spans="4:12" ht="30" x14ac:dyDescent="0.25">
      <c r="D33" s="17" t="s">
        <v>88</v>
      </c>
      <c r="E33" s="17" t="s">
        <v>89</v>
      </c>
      <c r="F33" s="17" t="s">
        <v>90</v>
      </c>
      <c r="G33" s="17" t="s">
        <v>91</v>
      </c>
      <c r="H33" s="17" t="s">
        <v>92</v>
      </c>
      <c r="I33" s="17" t="s">
        <v>93</v>
      </c>
      <c r="J33" s="17" t="s">
        <v>34</v>
      </c>
      <c r="K33" s="17" t="s">
        <v>94</v>
      </c>
      <c r="L33" s="17" t="s">
        <v>95</v>
      </c>
    </row>
    <row r="34" spans="4:12" ht="45" x14ac:dyDescent="0.25">
      <c r="D34" s="18" t="s">
        <v>119</v>
      </c>
      <c r="E34" s="14"/>
      <c r="F34" s="14"/>
      <c r="G34" s="13"/>
      <c r="H34" s="13"/>
      <c r="I34" s="14"/>
      <c r="J34" s="11"/>
      <c r="K34" s="13"/>
      <c r="L34" s="14"/>
    </row>
    <row r="35" spans="4:12" ht="60" x14ac:dyDescent="0.25">
      <c r="D35" s="18" t="s">
        <v>120</v>
      </c>
      <c r="E35" s="14"/>
      <c r="F35" s="14"/>
      <c r="G35" s="13"/>
      <c r="H35" s="12"/>
      <c r="I35" s="14"/>
      <c r="J35" s="11"/>
      <c r="K35" s="13"/>
      <c r="L35" s="14"/>
    </row>
    <row r="36" spans="4:12" ht="75" x14ac:dyDescent="0.25">
      <c r="D36" s="18" t="s">
        <v>121</v>
      </c>
      <c r="E36" s="13"/>
      <c r="F36" s="13"/>
      <c r="G36" s="13"/>
      <c r="H36" s="13"/>
      <c r="I36" s="13"/>
      <c r="J36" s="11"/>
      <c r="K36" s="12"/>
      <c r="L36" s="14"/>
    </row>
    <row r="37" spans="4:12" ht="60" x14ac:dyDescent="0.25">
      <c r="D37" s="18" t="s">
        <v>122</v>
      </c>
      <c r="E37" s="14"/>
      <c r="F37" s="14"/>
      <c r="G37" s="13"/>
      <c r="H37" s="13"/>
      <c r="I37" s="14"/>
      <c r="J37" s="11"/>
      <c r="K37" s="13"/>
      <c r="L3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2CBC-FF94-4E75-A3A2-D916B0720A3F}">
  <dimension ref="D4:Q32"/>
  <sheetViews>
    <sheetView tabSelected="1" topLeftCell="F1" zoomScale="70" zoomScaleNormal="70" workbookViewId="0">
      <selection activeCell="K21" sqref="K21"/>
    </sheetView>
  </sheetViews>
  <sheetFormatPr defaultRowHeight="15" x14ac:dyDescent="0.25"/>
  <cols>
    <col min="3" max="4" width="9.140625" customWidth="1"/>
    <col min="5" max="5" width="21.42578125" customWidth="1"/>
    <col min="6" max="6" width="32.5703125" customWidth="1"/>
    <col min="11" max="11" width="36.42578125" customWidth="1"/>
    <col min="15" max="18" width="29" customWidth="1"/>
  </cols>
  <sheetData>
    <row r="4" spans="5:17" ht="30" x14ac:dyDescent="0.25">
      <c r="E4" s="17" t="s">
        <v>124</v>
      </c>
      <c r="F4" s="17" t="s">
        <v>125</v>
      </c>
      <c r="G4" s="17" t="s">
        <v>126</v>
      </c>
      <c r="H4" s="17" t="s">
        <v>127</v>
      </c>
      <c r="I4" s="17" t="s">
        <v>128</v>
      </c>
      <c r="J4" s="17" t="s">
        <v>129</v>
      </c>
      <c r="K4" s="17" t="s">
        <v>130</v>
      </c>
      <c r="O4" s="17" t="s">
        <v>124</v>
      </c>
      <c r="P4" s="17" t="s">
        <v>129</v>
      </c>
      <c r="Q4" s="17" t="s">
        <v>130</v>
      </c>
    </row>
    <row r="5" spans="5:17" ht="90" x14ac:dyDescent="0.25">
      <c r="E5" s="25" t="s">
        <v>131</v>
      </c>
      <c r="F5" s="18" t="s">
        <v>132</v>
      </c>
      <c r="G5" s="26"/>
      <c r="H5" s="26"/>
      <c r="I5" s="26"/>
      <c r="J5" s="25" t="s">
        <v>133</v>
      </c>
      <c r="K5" s="18" t="s">
        <v>134</v>
      </c>
      <c r="O5" s="25" t="s">
        <v>131</v>
      </c>
      <c r="P5" s="25" t="s">
        <v>133</v>
      </c>
      <c r="Q5" s="18" t="s">
        <v>134</v>
      </c>
    </row>
    <row r="6" spans="5:17" ht="75" x14ac:dyDescent="0.25">
      <c r="E6" s="25" t="s">
        <v>135</v>
      </c>
      <c r="F6" s="18" t="s">
        <v>136</v>
      </c>
      <c r="G6" s="27"/>
      <c r="H6" s="27"/>
      <c r="I6" s="27"/>
      <c r="J6" s="25" t="s">
        <v>137</v>
      </c>
      <c r="K6" s="18" t="s">
        <v>138</v>
      </c>
      <c r="O6" s="25" t="s">
        <v>135</v>
      </c>
      <c r="P6" s="25" t="s">
        <v>137</v>
      </c>
      <c r="Q6" s="18" t="s">
        <v>138</v>
      </c>
    </row>
    <row r="7" spans="5:17" ht="90" x14ac:dyDescent="0.25">
      <c r="E7" s="25" t="s">
        <v>139</v>
      </c>
      <c r="F7" s="18" t="s">
        <v>140</v>
      </c>
      <c r="G7" s="26"/>
      <c r="H7" s="26"/>
      <c r="I7" s="26"/>
      <c r="J7" s="25" t="s">
        <v>141</v>
      </c>
      <c r="K7" s="18" t="s">
        <v>142</v>
      </c>
      <c r="O7" s="25" t="s">
        <v>139</v>
      </c>
      <c r="P7" s="25" t="s">
        <v>141</v>
      </c>
      <c r="Q7" s="18" t="s">
        <v>142</v>
      </c>
    </row>
    <row r="29" spans="5:7" x14ac:dyDescent="0.25">
      <c r="E29" s="16" t="s">
        <v>27</v>
      </c>
      <c r="F29" s="18" t="s">
        <v>143</v>
      </c>
      <c r="G29" s="21"/>
    </row>
    <row r="30" spans="5:7" x14ac:dyDescent="0.25">
      <c r="F30" s="18" t="s">
        <v>144</v>
      </c>
      <c r="G30" s="22"/>
    </row>
    <row r="31" spans="5:7" x14ac:dyDescent="0.25">
      <c r="F31" s="18" t="s">
        <v>145</v>
      </c>
      <c r="G31" s="23"/>
    </row>
    <row r="32" spans="5:7" x14ac:dyDescent="0.25">
      <c r="F32" s="18" t="s">
        <v>146</v>
      </c>
      <c r="G32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0ECB-D0FA-4728-A96F-0CB1142AECBF}">
  <dimension ref="D2:K16"/>
  <sheetViews>
    <sheetView topLeftCell="A7" zoomScale="70" zoomScaleNormal="70" workbookViewId="0">
      <selection activeCell="D12" sqref="D12"/>
    </sheetView>
  </sheetViews>
  <sheetFormatPr defaultColWidth="8.85546875" defaultRowHeight="15" x14ac:dyDescent="0.25"/>
  <cols>
    <col min="4" max="4" width="25.85546875" customWidth="1"/>
    <col min="5" max="11" width="20.85546875" customWidth="1"/>
  </cols>
  <sheetData>
    <row r="2" spans="4:11" x14ac:dyDescent="0.25">
      <c r="F2" s="4"/>
      <c r="G2" t="s">
        <v>24</v>
      </c>
    </row>
    <row r="3" spans="4:11" x14ac:dyDescent="0.25">
      <c r="F3" s="1"/>
      <c r="G3" t="s">
        <v>25</v>
      </c>
    </row>
    <row r="4" spans="4:11" x14ac:dyDescent="0.25">
      <c r="F4" s="2"/>
      <c r="G4" t="s">
        <v>26</v>
      </c>
    </row>
    <row r="5" spans="4:11" x14ac:dyDescent="0.25">
      <c r="F5" s="3"/>
      <c r="G5" t="s">
        <v>23</v>
      </c>
    </row>
    <row r="10" spans="4:11" ht="66.75" customHeight="1" x14ac:dyDescent="0.25">
      <c r="D10" s="6" t="s">
        <v>28</v>
      </c>
      <c r="E10" s="6" t="s">
        <v>29</v>
      </c>
      <c r="F10" s="6" t="s">
        <v>30</v>
      </c>
      <c r="G10" s="6" t="s">
        <v>31</v>
      </c>
      <c r="H10" s="6" t="s">
        <v>32</v>
      </c>
      <c r="I10" s="6" t="s">
        <v>33</v>
      </c>
      <c r="J10" s="6" t="s">
        <v>34</v>
      </c>
      <c r="K10" s="6" t="s">
        <v>35</v>
      </c>
    </row>
    <row r="11" spans="4:11" ht="66.75" customHeight="1" x14ac:dyDescent="0.25">
      <c r="D11" s="7" t="s">
        <v>36</v>
      </c>
      <c r="E11" s="7" t="s">
        <v>37</v>
      </c>
      <c r="F11" s="6" t="s">
        <v>38</v>
      </c>
      <c r="G11" s="6" t="s">
        <v>38</v>
      </c>
      <c r="H11" s="6" t="s">
        <v>39</v>
      </c>
      <c r="I11" s="6" t="s">
        <v>39</v>
      </c>
      <c r="J11" s="6" t="s">
        <v>38</v>
      </c>
      <c r="K11" s="6" t="s">
        <v>39</v>
      </c>
    </row>
    <row r="12" spans="4:11" ht="66.75" customHeight="1" x14ac:dyDescent="0.25">
      <c r="D12" s="7" t="s">
        <v>40</v>
      </c>
      <c r="E12" s="7" t="s">
        <v>37</v>
      </c>
      <c r="F12" s="7" t="s">
        <v>41</v>
      </c>
      <c r="G12" s="6" t="s">
        <v>39</v>
      </c>
      <c r="H12" s="6" t="s">
        <v>38</v>
      </c>
      <c r="I12" s="6" t="s">
        <v>39</v>
      </c>
      <c r="J12" s="6" t="s">
        <v>39</v>
      </c>
      <c r="K12" s="6" t="s">
        <v>38</v>
      </c>
    </row>
    <row r="13" spans="4:11" ht="66.75" customHeight="1" x14ac:dyDescent="0.25">
      <c r="D13" s="7" t="s">
        <v>42</v>
      </c>
      <c r="E13" s="6" t="s">
        <v>39</v>
      </c>
      <c r="F13" s="6" t="s">
        <v>38</v>
      </c>
      <c r="G13" s="7" t="s">
        <v>38</v>
      </c>
      <c r="H13" s="7" t="s">
        <v>41</v>
      </c>
      <c r="I13" s="6" t="s">
        <v>39</v>
      </c>
      <c r="J13" s="6" t="s">
        <v>39</v>
      </c>
      <c r="K13" s="7" t="s">
        <v>37</v>
      </c>
    </row>
    <row r="14" spans="4:11" ht="66.75" customHeight="1" x14ac:dyDescent="0.25">
      <c r="D14" s="7" t="s">
        <v>43</v>
      </c>
      <c r="E14" s="6" t="s">
        <v>39</v>
      </c>
      <c r="F14" s="6" t="s">
        <v>38</v>
      </c>
      <c r="G14" s="6" t="s">
        <v>38</v>
      </c>
      <c r="H14" s="6" t="s">
        <v>39</v>
      </c>
      <c r="I14" s="7" t="s">
        <v>37</v>
      </c>
      <c r="J14" s="6" t="s">
        <v>38</v>
      </c>
      <c r="K14" s="6" t="s">
        <v>39</v>
      </c>
    </row>
    <row r="15" spans="4:11" ht="66.75" customHeight="1" x14ac:dyDescent="0.25">
      <c r="D15" s="7" t="s">
        <v>44</v>
      </c>
      <c r="E15" s="7" t="s">
        <v>37</v>
      </c>
      <c r="F15" s="6" t="s">
        <v>38</v>
      </c>
      <c r="G15" s="6" t="s">
        <v>38</v>
      </c>
      <c r="H15" s="6" t="s">
        <v>39</v>
      </c>
      <c r="I15" s="6" t="s">
        <v>38</v>
      </c>
      <c r="J15" s="7" t="s">
        <v>41</v>
      </c>
      <c r="K15" s="6" t="s">
        <v>39</v>
      </c>
    </row>
    <row r="16" spans="4:11" ht="66.75" customHeight="1" x14ac:dyDescent="0.25">
      <c r="D16" s="7" t="s">
        <v>45</v>
      </c>
      <c r="E16" s="6" t="s">
        <v>39</v>
      </c>
      <c r="F16" s="6" t="s">
        <v>38</v>
      </c>
      <c r="G16" s="6" t="s">
        <v>38</v>
      </c>
      <c r="H16" s="7" t="s">
        <v>37</v>
      </c>
      <c r="I16" s="7" t="s">
        <v>41</v>
      </c>
      <c r="J16" s="6" t="s">
        <v>38</v>
      </c>
      <c r="K16" s="6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9931-9F7A-F347-AE1D-26D77CC0FCCE}">
  <dimension ref="D9:E20"/>
  <sheetViews>
    <sheetView topLeftCell="A7" workbookViewId="0">
      <selection activeCell="G14" sqref="G14"/>
    </sheetView>
  </sheetViews>
  <sheetFormatPr defaultColWidth="11.42578125" defaultRowHeight="15" x14ac:dyDescent="0.25"/>
  <cols>
    <col min="5" max="5" width="70.7109375" customWidth="1"/>
  </cols>
  <sheetData>
    <row r="9" spans="4:5" ht="30" x14ac:dyDescent="0.25">
      <c r="D9" s="9" t="s">
        <v>46</v>
      </c>
      <c r="E9" s="8" t="s">
        <v>47</v>
      </c>
    </row>
    <row r="10" spans="4:5" ht="45" x14ac:dyDescent="0.25">
      <c r="D10" s="9"/>
      <c r="E10" s="8" t="s">
        <v>48</v>
      </c>
    </row>
    <row r="11" spans="4:5" ht="30" x14ac:dyDescent="0.25">
      <c r="D11" s="9"/>
      <c r="E11" s="8" t="s">
        <v>49</v>
      </c>
    </row>
    <row r="12" spans="4:5" ht="30" x14ac:dyDescent="0.25">
      <c r="D12" s="9"/>
      <c r="E12" s="8" t="s">
        <v>50</v>
      </c>
    </row>
    <row r="13" spans="4:5" x14ac:dyDescent="0.25">
      <c r="D13" s="9" t="s">
        <v>51</v>
      </c>
      <c r="E13" s="8" t="s">
        <v>52</v>
      </c>
    </row>
    <row r="14" spans="4:5" ht="30" x14ac:dyDescent="0.25">
      <c r="D14" s="9"/>
      <c r="E14" s="8" t="s">
        <v>53</v>
      </c>
    </row>
    <row r="15" spans="4:5" ht="45" x14ac:dyDescent="0.25">
      <c r="D15" s="9" t="s">
        <v>54</v>
      </c>
      <c r="E15" s="8" t="s">
        <v>55</v>
      </c>
    </row>
    <row r="16" spans="4:5" ht="30" x14ac:dyDescent="0.25">
      <c r="D16" s="9"/>
      <c r="E16" s="8" t="s">
        <v>56</v>
      </c>
    </row>
    <row r="17" spans="4:5" x14ac:dyDescent="0.25">
      <c r="D17" s="9"/>
      <c r="E17" s="8" t="s">
        <v>57</v>
      </c>
    </row>
    <row r="18" spans="4:5" x14ac:dyDescent="0.25">
      <c r="D18" s="9" t="s">
        <v>58</v>
      </c>
      <c r="E18" s="8" t="s">
        <v>59</v>
      </c>
    </row>
    <row r="19" spans="4:5" ht="30" x14ac:dyDescent="0.25">
      <c r="D19" s="9"/>
      <c r="E19" s="8" t="s">
        <v>60</v>
      </c>
    </row>
    <row r="20" spans="4:5" x14ac:dyDescent="0.25">
      <c r="D20" s="9"/>
      <c r="E20" s="8" t="s">
        <v>61</v>
      </c>
    </row>
  </sheetData>
  <mergeCells count="4">
    <mergeCell ref="D9:D12"/>
    <mergeCell ref="D13:D14"/>
    <mergeCell ref="D15:D17"/>
    <mergeCell ref="D18:D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3D38-05E8-46F2-ABD9-54339A3E3C4C}">
  <dimension ref="F4:H31"/>
  <sheetViews>
    <sheetView workbookViewId="0">
      <selection activeCell="F24" sqref="F24:G31"/>
    </sheetView>
  </sheetViews>
  <sheetFormatPr defaultRowHeight="15" x14ac:dyDescent="0.25"/>
  <cols>
    <col min="6" max="6" width="29.140625" customWidth="1"/>
    <col min="7" max="7" width="28.42578125" customWidth="1"/>
    <col min="8" max="8" width="32.42578125" customWidth="1"/>
  </cols>
  <sheetData>
    <row r="4" spans="6:8" x14ac:dyDescent="0.25">
      <c r="F4" s="10" t="s">
        <v>62</v>
      </c>
      <c r="G4" s="10" t="s">
        <v>46</v>
      </c>
      <c r="H4" s="10" t="s">
        <v>78</v>
      </c>
    </row>
    <row r="5" spans="6:8" ht="30" x14ac:dyDescent="0.25">
      <c r="F5" s="10" t="s">
        <v>64</v>
      </c>
      <c r="G5" s="8" t="s">
        <v>66</v>
      </c>
      <c r="H5" s="8" t="s">
        <v>83</v>
      </c>
    </row>
    <row r="6" spans="6:8" ht="30" x14ac:dyDescent="0.25">
      <c r="F6" s="10" t="s">
        <v>65</v>
      </c>
      <c r="G6" s="8" t="s">
        <v>63</v>
      </c>
      <c r="H6" s="8" t="s">
        <v>83</v>
      </c>
    </row>
    <row r="7" spans="6:8" ht="30" x14ac:dyDescent="0.25">
      <c r="F7" s="10" t="s">
        <v>68</v>
      </c>
      <c r="G7" s="8" t="s">
        <v>67</v>
      </c>
      <c r="H7" s="8" t="s">
        <v>79</v>
      </c>
    </row>
    <row r="8" spans="6:8" ht="30" x14ac:dyDescent="0.25">
      <c r="F8" s="10" t="s">
        <v>70</v>
      </c>
      <c r="G8" s="8" t="s">
        <v>69</v>
      </c>
      <c r="H8" s="8" t="s">
        <v>80</v>
      </c>
    </row>
    <row r="9" spans="6:8" ht="30" x14ac:dyDescent="0.25">
      <c r="F9" s="10" t="s">
        <v>71</v>
      </c>
      <c r="G9" s="8" t="s">
        <v>72</v>
      </c>
      <c r="H9" s="8" t="s">
        <v>80</v>
      </c>
    </row>
    <row r="10" spans="6:8" ht="30" x14ac:dyDescent="0.25">
      <c r="F10" s="10" t="s">
        <v>74</v>
      </c>
      <c r="G10" s="8" t="s">
        <v>73</v>
      </c>
      <c r="H10" s="8" t="s">
        <v>82</v>
      </c>
    </row>
    <row r="11" spans="6:8" ht="30" x14ac:dyDescent="0.25">
      <c r="F11" s="10" t="s">
        <v>75</v>
      </c>
      <c r="G11" s="8" t="s">
        <v>76</v>
      </c>
      <c r="H11" s="8" t="s">
        <v>81</v>
      </c>
    </row>
    <row r="14" spans="6:8" x14ac:dyDescent="0.25">
      <c r="F14" s="10" t="s">
        <v>46</v>
      </c>
      <c r="G14" s="10" t="s">
        <v>78</v>
      </c>
    </row>
    <row r="15" spans="6:8" ht="30" x14ac:dyDescent="0.25">
      <c r="F15" s="8" t="s">
        <v>66</v>
      </c>
      <c r="G15" s="8" t="s">
        <v>83</v>
      </c>
    </row>
    <row r="16" spans="6:8" ht="30" x14ac:dyDescent="0.25">
      <c r="F16" s="8" t="s">
        <v>63</v>
      </c>
      <c r="G16" s="8" t="s">
        <v>83</v>
      </c>
    </row>
    <row r="17" spans="6:7" ht="30" x14ac:dyDescent="0.25">
      <c r="F17" s="8" t="s">
        <v>67</v>
      </c>
      <c r="G17" s="8" t="s">
        <v>79</v>
      </c>
    </row>
    <row r="18" spans="6:7" ht="30" x14ac:dyDescent="0.25">
      <c r="F18" s="8" t="s">
        <v>69</v>
      </c>
      <c r="G18" s="8" t="s">
        <v>80</v>
      </c>
    </row>
    <row r="19" spans="6:7" x14ac:dyDescent="0.25">
      <c r="F19" s="8" t="s">
        <v>72</v>
      </c>
      <c r="G19" s="8" t="s">
        <v>80</v>
      </c>
    </row>
    <row r="20" spans="6:7" ht="30" x14ac:dyDescent="0.25">
      <c r="F20" s="8" t="s">
        <v>73</v>
      </c>
      <c r="G20" s="8" t="s">
        <v>82</v>
      </c>
    </row>
    <row r="21" spans="6:7" ht="30" x14ac:dyDescent="0.25">
      <c r="F21" s="8" t="s">
        <v>76</v>
      </c>
      <c r="G21" s="8" t="s">
        <v>81</v>
      </c>
    </row>
    <row r="24" spans="6:7" x14ac:dyDescent="0.25">
      <c r="F24" s="10" t="s">
        <v>46</v>
      </c>
      <c r="G24" s="10" t="s">
        <v>77</v>
      </c>
    </row>
    <row r="25" spans="6:7" ht="45" x14ac:dyDescent="0.25">
      <c r="F25" s="8" t="s">
        <v>66</v>
      </c>
      <c r="G25" s="8" t="s">
        <v>84</v>
      </c>
    </row>
    <row r="26" spans="6:7" ht="30" x14ac:dyDescent="0.25">
      <c r="F26" s="8" t="s">
        <v>63</v>
      </c>
      <c r="G26" s="8" t="s">
        <v>85</v>
      </c>
    </row>
    <row r="27" spans="6:7" ht="30" x14ac:dyDescent="0.25">
      <c r="F27" s="8" t="s">
        <v>67</v>
      </c>
      <c r="G27" s="8" t="s">
        <v>86</v>
      </c>
    </row>
    <row r="28" spans="6:7" ht="30" x14ac:dyDescent="0.25">
      <c r="F28" s="8" t="s">
        <v>69</v>
      </c>
      <c r="G28" s="8" t="s">
        <v>87</v>
      </c>
    </row>
    <row r="29" spans="6:7" x14ac:dyDescent="0.25">
      <c r="F29" s="8" t="s">
        <v>72</v>
      </c>
      <c r="G29" s="8" t="s">
        <v>86</v>
      </c>
    </row>
    <row r="30" spans="6:7" ht="30" x14ac:dyDescent="0.25">
      <c r="F30" s="8" t="s">
        <v>73</v>
      </c>
      <c r="G30" s="8" t="s">
        <v>87</v>
      </c>
    </row>
    <row r="31" spans="6:7" ht="30" x14ac:dyDescent="0.25">
      <c r="F31" s="8" t="s">
        <v>76</v>
      </c>
      <c r="G31" s="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Sheet6</vt:lpstr>
      <vt:lpstr>Sheet7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 Joseph Fernandez</dc:creator>
  <cp:lastModifiedBy>Gielo Joseph Fernandez</cp:lastModifiedBy>
  <dcterms:created xsi:type="dcterms:W3CDTF">2025-11-23T07:24:08Z</dcterms:created>
  <dcterms:modified xsi:type="dcterms:W3CDTF">2025-12-04T16:22:34Z</dcterms:modified>
</cp:coreProperties>
</file>